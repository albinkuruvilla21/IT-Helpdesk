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Acceptance Criteria" sheetId="2" state="visible" r:id="rId2"/>
    <sheet xmlns:r="http://schemas.openxmlformats.org/officeDocument/2006/relationships" name="Delivery Standards" sheetId="3" state="visible" r:id="rId3"/>
    <sheet xmlns:r="http://schemas.openxmlformats.org/officeDocument/2006/relationships" name="Questions" sheetId="4" state="visible" r:id="rId4"/>
    <sheet xmlns:r="http://schemas.openxmlformats.org/officeDocument/2006/relationships" name="Client Inputs" sheetId="5" state="visible" r:id="rId5"/>
    <sheet xmlns:r="http://schemas.openxmlformats.org/officeDocument/2006/relationships" name="Test Cases" sheetId="6" state="visible" r:id="rId6"/>
    <sheet xmlns:r="http://schemas.openxmlformats.org/officeDocument/2006/relationships" name="Summary" sheetId="7" state="visible" r:id="rId7"/>
    <sheet xmlns:r="http://schemas.openxmlformats.org/officeDocument/2006/relationships" name="References" sheetId="8" state="visible" r:id="rId8"/>
  </sheets>
  <definedNames>
    <definedName name="_xlnm._FilterDatabase" localSheetId="1" hidden="1">'Acceptance Criteria'!$A$1:$O$1000</definedName>
    <definedName name="_xlnm._FilterDatabase" localSheetId="2" hidden="1">'Delivery Standards'!$A$1:$E$1000</definedName>
    <definedName name="_xlnm._FilterDatabase" localSheetId="3" hidden="1">'Questions'!$A$1:$I$1000</definedName>
    <definedName name="_xlnm._FilterDatabase" localSheetId="4" hidden="1">'Client Inputs'!$A$1:$G$1000</definedName>
    <definedName name="_xlnm._FilterDatabase" localSheetId="5" hidden="1">'Test Cases'!$A$1:$N$1000</definedName>
    <definedName name="_xlnm._FilterDatabase" localSheetId="7" hidden="1">'References'!$A$1:$C$1000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i val="1"/>
    </font>
  </fonts>
  <fills count="3">
    <fill>
      <patternFill/>
    </fill>
    <fill>
      <patternFill patternType="gray125"/>
    </fill>
    <fill>
      <patternFill patternType="solid">
        <fgColor rgb="001F4E8C"/>
      </patternFill>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vertical="top" wrapText="1"/>
    </xf>
    <xf numFmtId="0" fontId="3" fillId="2" borderId="0" pivotButton="0" quotePrefix="0" xfId="0"/>
    <xf numFmtId="9" fontId="0"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26" customWidth="1" min="1" max="1"/>
    <col width="100" customWidth="1" min="2" max="2"/>
  </cols>
  <sheetData>
    <row r="1">
      <c r="A1" s="1" t="inlineStr">
        <is>
          <t>Contoso Site Requests — Phase 1 — Acceptance Criteria</t>
        </is>
      </c>
    </row>
    <row r="3">
      <c r="A3" s="2" t="inlineStr">
        <is>
          <t>Document control</t>
        </is>
      </c>
    </row>
    <row r="4">
      <c r="A4" t="inlineStr">
        <is>
          <t>Client</t>
        </is>
      </c>
      <c r="B4" t="inlineStr">
        <is>
          <t>Contoso (fictional)</t>
        </is>
      </c>
    </row>
    <row r="5">
      <c r="A5" t="inlineStr">
        <is>
          <t>Project code</t>
        </is>
      </c>
      <c r="B5" t="inlineStr">
        <is>
          <t>CON</t>
        </is>
      </c>
    </row>
    <row r="6">
      <c r="A6" t="inlineStr">
        <is>
          <t>Document version</t>
        </is>
      </c>
      <c r="B6" t="inlineStr">
        <is>
          <t>1.0</t>
        </is>
      </c>
    </row>
    <row r="7">
      <c r="A7" t="inlineStr">
        <is>
          <t>Prepared by</t>
        </is>
      </c>
      <c r="B7" t="inlineStr">
        <is>
          <t>Claude Code (/acceptance-criteria), reviewed by BA</t>
        </is>
      </c>
    </row>
    <row r="8">
      <c r="A8" t="inlineStr">
        <is>
          <t>Prepared on</t>
        </is>
      </c>
      <c r="B8" t="inlineStr">
        <is>
          <t>2026-10-20</t>
        </is>
      </c>
    </row>
    <row r="9">
      <c r="A9" t="inlineStr">
        <is>
          <t>Approved by (PO)</t>
        </is>
      </c>
      <c r="B9" t="inlineStr">
        <is>
          <t>Product Owner (name)</t>
        </is>
      </c>
    </row>
    <row r="10">
      <c r="A10" t="inlineStr">
        <is>
          <t>Approved on</t>
        </is>
      </c>
      <c r="B10" t="inlineStr">
        <is>
          <t>2026-10-22</t>
        </is>
      </c>
    </row>
    <row r="11">
      <c r="A11" t="inlineStr">
        <is>
          <t>Format version</t>
        </is>
      </c>
      <c r="B11" t="inlineStr">
        <is>
          <t>1.1</t>
        </is>
      </c>
    </row>
    <row r="13">
      <c r="A13" s="2" t="inlineStr">
        <is>
          <t>Sheets</t>
        </is>
      </c>
      <c r="B13" s="3" t="n"/>
    </row>
    <row r="14">
      <c r="A14" t="inlineStr">
        <is>
          <t>Acceptance Criteria</t>
        </is>
      </c>
      <c r="B14" s="3" t="inlineStr">
        <is>
          <t>One row per feature. 'Acceptance Checks' is a numbered list — each check is one observable, testable outcome. Test cases cite a check by its number.</t>
        </is>
      </c>
    </row>
    <row r="15">
      <c r="A15" t="inlineStr">
        <is>
          <t>Delivery Standards</t>
        </is>
      </c>
      <c r="B15" s="3" t="inlineStr">
        <is>
          <t>Acies delivery standards (accessibility, permissions, loading/empty/error states). They apply to every criterion. They are how Acies builds, not scope to negotiate, and are not repeated in each row. Test cases cite them like criteria.</t>
        </is>
      </c>
    </row>
    <row r="16">
      <c r="A16" t="inlineStr">
        <is>
          <t>Questions</t>
        </is>
      </c>
      <c r="B16" s="3" t="inlineStr">
        <is>
          <t>Open questions for the PO, with the IDs used in 'Open Questions' and in PROJECT.md. 'Current baseline' is what gets built if a question stays unanswered. Answer in 'Answer · date' and set Status to Answered.</t>
        </is>
      </c>
    </row>
    <row r="17">
      <c r="A17" t="inlineStr">
        <is>
          <t>Client Inputs</t>
        </is>
      </c>
      <c r="B17" s="3" t="inlineStr">
        <is>
          <t>Content and decisions the client must supply (links, logos, mappings). A row stays 'Awaiting' until it arrives; tests that depend on it are 'Blocked', not 'Fail'.</t>
        </is>
      </c>
    </row>
    <row r="18">
      <c r="A18" t="inlineStr">
        <is>
          <t>Test Cases</t>
        </is>
      </c>
      <c r="B18" s="3" t="inlineStr">
        <is>
          <t>One row per test case. Feature and Power Apps Component are looked up from the AC ID — '⚠ Unknown AC ID' means the ID is wrong. A re-test updates Iteration and Status in place, and the earlier result moves to Comments ('It1: Fail — BUG-014. It2: Pass').</t>
        </is>
      </c>
    </row>
    <row r="19">
      <c r="A19" t="inlineStr">
        <is>
          <t>Summary</t>
        </is>
      </c>
      <c r="B19" s="3" t="inlineStr">
        <is>
          <t>Calculated. Do not type into it.</t>
        </is>
      </c>
    </row>
    <row r="20">
      <c r="A20" t="inlineStr">
        <is>
          <t>References</t>
        </is>
      </c>
      <c r="B20" s="3" t="inlineStr">
        <is>
          <t>Where the source artefacts live. Never put credentials or passwords here — link to where they are held instead.</t>
        </is>
      </c>
    </row>
    <row r="21">
      <c r="B21" s="3" t="n"/>
    </row>
    <row r="22">
      <c r="A22" s="2" t="inlineStr">
        <is>
          <t>Rules</t>
        </is>
      </c>
      <c r="B22" s="3" t="n"/>
    </row>
    <row r="23">
      <c r="A23" t="inlineStr">
        <is>
          <t>Working copy</t>
        </is>
      </c>
      <c r="B23" s="3" t="inlineStr">
        <is>
          <t>This file is the one working copy. Edit it in Excel and keep its sheets, columns and drop-downs; don't regenerate it with another tool or keep a second copy. The delivery team compares versions with 'ac_workbook.py diff'.</t>
        </is>
      </c>
    </row>
    <row r="24">
      <c r="A24" t="inlineStr">
        <is>
          <t>IDs</t>
        </is>
      </c>
      <c r="B24" s="3" t="inlineStr">
        <is>
          <t>AC-&lt;PROJECT&gt;-NN: the project code, then one running number for the whole project, from 01 (AC-CON-01, AC-CON-02, …). Test cases are TC-&lt;AREA&gt;-NNN, AREA being a 2–6 letter code for the screen or module (NAV, HOME), and cite the AC ID. IDs are permanent: never renumber, never reuse, never delete a row. A criterion taken out of scope keeps its row with Status 'Out of Scope'.</t>
        </is>
      </c>
    </row>
    <row r="25">
      <c r="A25" t="inlineStr">
        <is>
          <t>Source</t>
        </is>
      </c>
      <c r="B25" s="3" t="inlineStr">
        <is>
          <t>Every criterion names where it came from: a BRD row, a transcript timestamp, a design file. 'ASSUMPTION' means nobody said it — it must have an Open Question, and the PO must confirm it before approval. Once the PO decides, the Source says 'PO decision YYYY-MM-DD (Q-nn)' instead.</t>
        </is>
      </c>
    </row>
    <row r="26">
      <c r="A26" t="inlineStr">
        <is>
          <t>Status</t>
        </is>
      </c>
      <c r="B26" s="3" t="inlineStr">
        <is>
          <t>Candidate (only the BRD mentions it; not in the baseline unless the PO promotes it) · Draft → In Review → Approved · Changed (altered after approval) · On Hold (agreed for later) · Out of Scope (dropped; the row stays). Only Approved and Changed rows are built. Every change after review adds a line to 'Alterations': YYYY-MM-DD · who · what.</t>
        </is>
      </c>
    </row>
    <row r="27">
      <c r="A27" t="inlineStr">
        <is>
          <t>Type</t>
        </is>
      </c>
      <c r="B27" s="3" t="inlineStr">
        <is>
          <t>UI, Functional, Data, Integration, Security, Accessibility, Performance, Content</t>
        </is>
      </c>
    </row>
    <row r="28">
      <c r="A28" t="inlineStr">
        <is>
          <t>Priority</t>
        </is>
      </c>
      <c r="B28" s="3" t="inlineStr">
        <is>
          <t>Must, Should, Could, Won't (MoSCoW).</t>
        </is>
      </c>
    </row>
    <row r="29">
      <c r="A29" t="inlineStr">
        <is>
          <t>Test types</t>
        </is>
      </c>
      <c r="B29" s="3" t="inlineStr">
        <is>
          <t>Positive, Negative, Edge, Boundary, Stress, Accessibility, UI</t>
        </is>
      </c>
    </row>
    <row r="30">
      <c r="A30" t="inlineStr">
        <is>
          <t>Test status</t>
        </is>
      </c>
      <c r="B30" s="3" t="inlineStr">
        <is>
          <t>Not Run, Pass, Fail, Blocked</t>
        </is>
      </c>
    </row>
    <row r="31">
      <c r="B31" s="3" t="n"/>
    </row>
    <row r="32">
      <c r="A32" t="inlineStr">
        <is>
          <t>Generated by</t>
        </is>
      </c>
      <c r="B32" s="3" t="inlineStr">
        <is>
          <t>tools/ac_workbook.py — see docs/standards/acceptance-criteria-standard.md in the project repository.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24" customWidth="1" min="2" max="2"/>
    <col width="16" customWidth="1" min="3" max="3"/>
    <col width="26" customWidth="1" min="4" max="4"/>
    <col width="48" customWidth="1" min="5" max="5"/>
    <col width="62" customWidth="1" min="6" max="6"/>
    <col width="22" customWidth="1" min="7" max="7"/>
    <col width="34" customWidth="1" min="8" max="8"/>
    <col width="14" customWidth="1" min="9" max="9"/>
    <col width="10" customWidth="1" min="10" max="10"/>
    <col width="30" customWidth="1" min="11" max="11"/>
    <col width="26" customWidth="1" min="12" max="12"/>
    <col width="30" customWidth="1" min="13" max="13"/>
    <col width="12" customWidth="1" min="14" max="14"/>
    <col width="40" customWidth="1" min="15" max="15"/>
  </cols>
  <sheetData>
    <row r="1">
      <c r="A1" s="4" t="inlineStr">
        <is>
          <t>AC ID</t>
        </is>
      </c>
      <c r="B1" s="4" t="inlineStr">
        <is>
          <t>Screen Section</t>
        </is>
      </c>
      <c r="C1" s="4" t="inlineStr">
        <is>
          <t>User Role</t>
        </is>
      </c>
      <c r="D1" s="4" t="inlineStr">
        <is>
          <t>Feature</t>
        </is>
      </c>
      <c r="E1" s="4" t="inlineStr">
        <is>
          <t>Description</t>
        </is>
      </c>
      <c r="F1" s="4" t="inlineStr">
        <is>
          <t>Acceptance Checks</t>
        </is>
      </c>
      <c r="G1" s="4" t="inlineStr">
        <is>
          <t>Power Apps Component</t>
        </is>
      </c>
      <c r="H1" s="4" t="inlineStr">
        <is>
          <t>Data (Lists &amp; Fields)</t>
        </is>
      </c>
      <c r="I1" s="4" t="inlineStr">
        <is>
          <t>Type</t>
        </is>
      </c>
      <c r="J1" s="4" t="inlineStr">
        <is>
          <t>Priority</t>
        </is>
      </c>
      <c r="K1" s="4" t="inlineStr">
        <is>
          <t>Source</t>
        </is>
      </c>
      <c r="L1" s="4" t="inlineStr">
        <is>
          <t>Client Input Needed</t>
        </is>
      </c>
      <c r="M1" s="4" t="inlineStr">
        <is>
          <t>Open Questions</t>
        </is>
      </c>
      <c r="N1" s="4" t="inlineStr">
        <is>
          <t>Status</t>
        </is>
      </c>
      <c r="O1" s="4" t="inlineStr">
        <is>
          <t>Alterations (dated)</t>
        </is>
      </c>
    </row>
    <row r="2">
      <c r="A2" s="3" t="inlineStr">
        <is>
          <t>AC-CON-01</t>
        </is>
      </c>
      <c r="B2" s="3" t="inlineStr">
        <is>
          <t>Home screen — header</t>
        </is>
      </c>
      <c r="C2" s="3" t="inlineStr">
        <is>
          <t>All Users</t>
        </is>
      </c>
      <c r="D2" s="3" t="inlineStr">
        <is>
          <t>App header</t>
        </is>
      </c>
      <c r="E2" s="3" t="inlineStr">
        <is>
          <t>Every screen opens with a header bar carrying the app's name, so users always know which app they are in.</t>
        </is>
      </c>
      <c r="F2" s="3" t="inlineStr">
        <is>
          <t>1. The header shows the app's name, "Site Requests", in the brand colour band at the top of the screen.
2. A screen reader announces the app's name as the screen's first heading.
3. The header spans the full width of the screen at every supported width.</t>
        </is>
      </c>
      <c r="G2" s="3" t="inlineStr">
        <is>
          <t>StarterApp: scrHome</t>
        </is>
      </c>
      <c r="H2" s="3" t="inlineStr">
        <is>
          <t>None</t>
        </is>
      </c>
      <c r="I2" s="3" t="inlineStr">
        <is>
          <t>UI</t>
        </is>
      </c>
      <c r="J2" s="3" t="inlineStr">
        <is>
          <t>Must</t>
        </is>
      </c>
      <c r="K2" s="3" t="inlineStr">
        <is>
          <t>BRD: Screens!R3; Design: home-v2.png header</t>
        </is>
      </c>
      <c r="L2" s="3" t="n"/>
      <c r="M2" s="3" t="n"/>
      <c r="N2" s="3" t="inlineStr">
        <is>
          <t>Approved</t>
        </is>
      </c>
      <c r="O2" s="3" t="n"/>
    </row>
    <row r="3">
      <c r="A3" s="3" t="inlineStr">
        <is>
          <t>AC-CON-02</t>
        </is>
      </c>
      <c r="B3" s="3" t="inlineStr">
        <is>
          <t>Home screen — welcome</t>
        </is>
      </c>
      <c r="C3" s="3" t="inlineStr">
        <is>
          <t>All Users</t>
        </is>
      </c>
      <c r="D3" s="3" t="inlineStr">
        <is>
          <t>Personal welcome</t>
        </is>
      </c>
      <c r="E3" s="3" t="inlineStr">
        <is>
          <t>The home screen greets the signed-in user by name and offers the main action.</t>
        </is>
      </c>
      <c r="F3" s="3" t="inlineStr">
        <is>
          <t>1. Below the header, the screen shows "Welcome, &lt;the user's full name&gt;" using the signed-in account.
2. A primary button below the welcome shows a short success message when selected (Phase 1 placeholder for "New request", per Q-01).</t>
        </is>
      </c>
      <c r="G3" s="3" t="inlineStr">
        <is>
          <t>StarterApp: scrHome</t>
        </is>
      </c>
      <c r="H3" s="3" t="inlineStr">
        <is>
          <t>None</t>
        </is>
      </c>
      <c r="I3" s="3" t="inlineStr">
        <is>
          <t>UI</t>
        </is>
      </c>
      <c r="J3" s="3" t="inlineStr">
        <is>
          <t>Should</t>
        </is>
      </c>
      <c r="K3" s="3" t="inlineStr">
        <is>
          <t>Transcript 00:03:10; Design: home-v2.png; PO decision 2026-10-22 (Q-01)</t>
        </is>
      </c>
      <c r="L3" s="3" t="n"/>
      <c r="M3" s="3" t="n"/>
      <c r="N3" s="3" t="inlineStr">
        <is>
          <t>Approved</t>
        </is>
      </c>
      <c r="O3" s="3" t="inlineStr">
        <is>
          <t>2026-10-22 · Contoso PO · Q-01 answered: Phase 1 keeps the button as a placeholder; it opens New request once AC-CON-03 is built.</t>
        </is>
      </c>
    </row>
    <row r="4">
      <c r="A4" s="3" t="inlineStr">
        <is>
          <t>AC-CON-03</t>
        </is>
      </c>
      <c r="B4" s="3" t="inlineStr">
        <is>
          <t>New request screen</t>
        </is>
      </c>
      <c r="C4" s="3" t="inlineStr">
        <is>
          <t>Requester (any employee)</t>
        </is>
      </c>
      <c r="D4" s="3" t="inlineStr">
        <is>
          <t>Submit a site request</t>
        </is>
      </c>
      <c r="E4" s="3" t="inlineStr">
        <is>
          <t>An employee asks for a new SharePoint site by filling in a short form.</t>
        </is>
      </c>
      <c r="F4" s="3" t="inlineStr">
        <is>
          <t>1. The form asks for: site name (required), site type (Team / Communication, required) and business justification (required, multi-line).
2. Submitting with a required field empty keeps the user on the form and names each missing field next to it.
3. On success the request is saved with status "Submitted" and the user sees a confirmation with the request's number.
4. The requester's name and email are taken from their sign-in; they cannot type them.</t>
        </is>
      </c>
      <c r="G4" s="3" t="inlineStr">
        <is>
          <t>SiteRequests: scrNewRequest</t>
        </is>
      </c>
      <c r="H4" s="3" t="inlineStr">
        <is>
          <t>CON_SiteRequest: Title, SiteType, BusinessJustification, RequestStatus, RequesterEmail, RequesterName</t>
        </is>
      </c>
      <c r="I4" s="3" t="inlineStr">
        <is>
          <t>Functional</t>
        </is>
      </c>
      <c r="J4" s="3" t="inlineStr">
        <is>
          <t>Must</t>
        </is>
      </c>
      <c r="K4" s="3" t="inlineStr">
        <is>
          <t>BRD: Requests!R4-R7; Transcript 00:05:42; Design: new-request-v2.png</t>
        </is>
      </c>
      <c r="L4" s="3" t="n"/>
      <c r="M4" s="3" t="n"/>
      <c r="N4" s="3" t="inlineStr">
        <is>
          <t>Approved</t>
        </is>
      </c>
      <c r="O4" s="3" t="n"/>
    </row>
    <row r="5">
      <c r="A5" s="3" t="inlineStr">
        <is>
          <t>AC-CON-04</t>
        </is>
      </c>
      <c r="B5" s="3" t="inlineStr">
        <is>
          <t>My requests screen</t>
        </is>
      </c>
      <c r="C5" s="3" t="inlineStr">
        <is>
          <t>Requester (any employee)</t>
        </is>
      </c>
      <c r="D5" s="3" t="inlineStr">
        <is>
          <t>My requests</t>
        </is>
      </c>
      <c r="E5" s="3" t="inlineStr">
        <is>
          <t>A requester sees the requests they have submitted and where each one stands.</t>
        </is>
      </c>
      <c r="F5" s="3" t="inlineStr">
        <is>
          <t>1. The screen lists only the signed-in user's requests, newest first.
2. Each row shows the site name, the date submitted and the status.
3. With no requests, the screen says so and offers "New request".</t>
        </is>
      </c>
      <c r="G5" s="3" t="inlineStr">
        <is>
          <t>SiteRequests: scrMyRequests</t>
        </is>
      </c>
      <c r="H5" s="3" t="inlineStr">
        <is>
          <t>CON_SiteRequest: Title, RequestStatus, RequesterEmail, Created</t>
        </is>
      </c>
      <c r="I5" s="3" t="inlineStr">
        <is>
          <t>Functional</t>
        </is>
      </c>
      <c r="J5" s="3" t="inlineStr">
        <is>
          <t>Must</t>
        </is>
      </c>
      <c r="K5" s="3" t="inlineStr">
        <is>
          <t>BRD: Requests!R9; Design: my-requests-v2.png</t>
        </is>
      </c>
      <c r="L5" s="3" t="n"/>
      <c r="M5" s="3" t="n"/>
      <c r="N5" s="3" t="inlineStr">
        <is>
          <t>Approved</t>
        </is>
      </c>
      <c r="O5" s="3" t="n"/>
    </row>
    <row r="6">
      <c r="A6" s="3" t="inlineStr">
        <is>
          <t>AC-CON-05</t>
        </is>
      </c>
      <c r="B6" s="3" t="inlineStr">
        <is>
          <t>Approvals screen</t>
        </is>
      </c>
      <c r="C6" s="3" t="inlineStr">
        <is>
          <t>Site approver</t>
        </is>
      </c>
      <c r="D6" s="3" t="inlineStr">
        <is>
          <t>Approve or reject a request</t>
        </is>
      </c>
      <c r="E6" s="3" t="inlineStr">
        <is>
          <t>An approver works through submitted requests and approves or rejects each with a reason.</t>
        </is>
      </c>
      <c r="F6" s="3" t="inlineStr">
        <is>
          <t>1. The screen lists requests with status "Submitted", oldest first.
2. Approving sets the status to "Approved"; rejecting requires a reason and sets "Rejected".
3. Only members of the approvers group can change a request's status; for anyone else the save is refused by the list (STD-PERM).
4. Who the approvers are is maintained by Contoso IT in the approvers SharePoint group; no admin screen is built.</t>
        </is>
      </c>
      <c r="G6" s="3" t="inlineStr">
        <is>
          <t>SiteRequests: scrApprovals</t>
        </is>
      </c>
      <c r="H6" s="3" t="inlineStr">
        <is>
          <t>CON_SiteRequest: RequestStatus, DecisionReason, DecidedBy, DecidedOn</t>
        </is>
      </c>
      <c r="I6" s="3" t="inlineStr">
        <is>
          <t>Functional</t>
        </is>
      </c>
      <c r="J6" s="3" t="inlineStr">
        <is>
          <t>Must</t>
        </is>
      </c>
      <c r="K6" s="3" t="inlineStr">
        <is>
          <t>BRD: Approvals!R3-R5; Transcript 00:11:20</t>
        </is>
      </c>
      <c r="L6" s="3" t="inlineStr">
        <is>
          <t>IN-02</t>
        </is>
      </c>
      <c r="M6" s="3" t="n"/>
      <c r="N6" s="3" t="inlineStr">
        <is>
          <t>Approved</t>
        </is>
      </c>
      <c r="O6" s="3" t="n"/>
    </row>
    <row r="7">
      <c r="A7" s="3" t="inlineStr">
        <is>
          <t>AC-CON-06</t>
        </is>
      </c>
      <c r="B7" s="3" t="inlineStr">
        <is>
          <t>Background — email notification</t>
        </is>
      </c>
      <c r="C7" s="3" t="inlineStr">
        <is>
          <t>Support team</t>
        </is>
      </c>
      <c r="D7" s="3" t="inlineStr">
        <is>
          <t>New request notification</t>
        </is>
      </c>
      <c r="E7" s="3" t="inlineStr">
        <is>
          <t>The support mailbox is told by email whenever a new request arrives.</t>
        </is>
      </c>
      <c r="F7" s="3" t="inlineStr">
        <is>
          <t>1. Within 5 minutes of a request being created, an email goes to the support address held in the app's settings.
2. The email's subject carries the request's title and its body links to the item.
3. Changing the support address needs no change to the app or flow (an environment variable).</t>
        </is>
      </c>
      <c r="G7" s="3" t="inlineStr">
        <is>
          <t>Flow: Sample - Notify on new item</t>
        </is>
      </c>
      <c r="H7" s="3" t="inlineStr">
        <is>
          <t>CON_SiteRequest: Title</t>
        </is>
      </c>
      <c r="I7" s="3" t="inlineStr">
        <is>
          <t>Integration</t>
        </is>
      </c>
      <c r="J7" s="3" t="inlineStr">
        <is>
          <t>Should</t>
        </is>
      </c>
      <c r="K7" s="3" t="inlineStr">
        <is>
          <t>Transcript 00:14:05 ("support should get an email, within a few minutes is fine")</t>
        </is>
      </c>
      <c r="L7" s="3" t="inlineStr">
        <is>
          <t>IN-01</t>
        </is>
      </c>
      <c r="M7" s="3" t="n"/>
      <c r="N7" s="3" t="inlineStr">
        <is>
          <t>Approved</t>
        </is>
      </c>
      <c r="O7" s="3" t="n"/>
    </row>
    <row r="8">
      <c r="A8" s="3" t="inlineStr">
        <is>
          <t>AC-CON-07</t>
        </is>
      </c>
      <c r="B8" s="3" t="inlineStr">
        <is>
          <t>New request screen</t>
        </is>
      </c>
      <c r="C8" s="3" t="inlineStr">
        <is>
          <t>Requester (any employee)</t>
        </is>
      </c>
      <c r="D8" s="3" t="inlineStr">
        <is>
          <t>Attach supporting documents</t>
        </is>
      </c>
      <c r="E8" s="3" t="inlineStr">
        <is>
          <t>The BRD lists attachments on a request. Neither the design nor the walkthrough shows them.</t>
        </is>
      </c>
      <c r="F8" s="3" t="inlineStr">
        <is>
          <t>1. Promote into scope, or leave out? Baseline: not built.</t>
        </is>
      </c>
      <c r="G8" s="3" t="inlineStr">
        <is>
          <t>SiteRequests: scrNewRequest</t>
        </is>
      </c>
      <c r="H8" s="3" t="inlineStr">
        <is>
          <t>None</t>
        </is>
      </c>
      <c r="I8" s="3" t="inlineStr">
        <is>
          <t>Functional</t>
        </is>
      </c>
      <c r="J8" s="3" t="inlineStr">
        <is>
          <t>Could</t>
        </is>
      </c>
      <c r="K8" s="3" t="inlineStr">
        <is>
          <t>BRD: Requests!R8</t>
        </is>
      </c>
      <c r="L8" s="3" t="n"/>
      <c r="M8" s="3" t="inlineStr">
        <is>
          <t>Q-02</t>
        </is>
      </c>
      <c r="N8" s="3" t="inlineStr">
        <is>
          <t>Candidate</t>
        </is>
      </c>
      <c r="O8" s="3" t="n"/>
    </row>
  </sheetData>
  <autoFilter ref="A1:O1000"/>
  <dataValidations count="3">
    <dataValidation sqref="I2:I1000" showDropDown="0" showInputMessage="0" showErrorMessage="0" allowBlank="1" errorTitle="Not an allowed value" error="Pick a value from the list." type="list">
      <formula1>"UI,Functional,Data,Integration,Security,Accessibility,Performance,Content"</formula1>
    </dataValidation>
    <dataValidation sqref="J2:J1000" showDropDown="0" showInputMessage="0" showErrorMessage="0" allowBlank="1" errorTitle="Not an allowed value" error="Pick a value from the list." type="list">
      <formula1>"Must,Should,Could,Won't"</formula1>
    </dataValidation>
    <dataValidation sqref="N2:N1000" showDropDown="0" showInputMessage="0" showErrorMessage="0" allowBlank="1" errorTitle="Not an allowed value" error="Pick a value from the list." type="list">
      <formula1>"Candidate,Draft,In Review,Approved,Changed,On Hold,Out of Scope"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30" customWidth="1" min="2" max="2"/>
    <col width="18" customWidth="1" min="3" max="3"/>
    <col width="70" customWidth="1" min="4" max="4"/>
    <col width="34" customWidth="1" min="5" max="5"/>
  </cols>
  <sheetData>
    <row r="1">
      <c r="A1" s="4" t="inlineStr">
        <is>
          <t>Standard ID</t>
        </is>
      </c>
      <c r="B1" s="4" t="inlineStr">
        <is>
          <t>Standard</t>
        </is>
      </c>
      <c r="C1" s="4" t="inlineStr">
        <is>
          <t>Applies to</t>
        </is>
      </c>
      <c r="D1" s="4" t="inlineStr">
        <is>
          <t>Checks</t>
        </is>
      </c>
      <c r="E1" s="4" t="inlineStr">
        <is>
          <t>Basis</t>
        </is>
      </c>
    </row>
    <row r="2">
      <c r="A2" s="3" t="inlineStr">
        <is>
          <t>STD-A11Y</t>
        </is>
      </c>
      <c r="B2" s="3" t="inlineStr">
        <is>
          <t>Accessibility (WCAG 2.1 AA)</t>
        </is>
      </c>
      <c r="C2" s="3" t="inlineStr">
        <is>
          <t>All</t>
        </is>
      </c>
      <c r="D2" s="3" t="inlineStr">
        <is>
          <t>1. Every interactive control is reachable and operable by keyboard alone, in reading order, with a visible focus indicator.
2. Every interactive control has an accessible name: its text, or AccessibleLabel where the control has one (icons, inputs, galleries).
3. Text meets 4.5:1 contrast (3:1 for large text and control boundaries) against its background.
4. Each screen's title is a heading (Role: Heading1); images have meaningful alternative text or are marked decorative.
5. Errors and confirmations are announced to screen readers, never shown by colour alone.</t>
        </is>
      </c>
      <c r="E2" s="3" t="inlineStr">
        <is>
          <t>Acies default D9. Not negotiable scope: the PO signs the criteria, not this.</t>
        </is>
      </c>
    </row>
    <row r="3">
      <c r="A3" s="3" t="inlineStr">
        <is>
          <t>STD-STATES</t>
        </is>
      </c>
      <c r="B3" s="3" t="inlineStr">
        <is>
          <t>Loading, empty, error and no-permission states</t>
        </is>
      </c>
      <c r="C3" s="3" t="inlineStr">
        <is>
          <t>Every screen that shows list data</t>
        </is>
      </c>
      <c r="D3" s="3" t="inlineStr">
        <is>
          <t>1. While data loads, the screen shows a loading indicator in the area that will hold it.
2. With no data, the screen says what is missing and offers the next step if there is one.
3. If loading or saving fails, the user sees what failed in plain words and can try again; nothing fails silently.
4. If the user has no access to the data, the screen says so plainly.</t>
        </is>
      </c>
      <c r="E3" s="3" t="inlineStr">
        <is>
          <t>Acies design standard §5.</t>
        </is>
      </c>
    </row>
    <row r="4">
      <c r="A4" s="3" t="inlineStr">
        <is>
          <t>STD-PERM</t>
        </is>
      </c>
      <c r="B4" s="3" t="inlineStr">
        <is>
          <t>Permissions by list permissions</t>
        </is>
      </c>
      <c r="C4" s="3" t="inlineStr">
        <is>
          <t>Every list</t>
        </is>
      </c>
      <c r="D4" s="3" t="inlineStr">
        <is>
          <t>1. What a user can read or change is decided by the SharePoint list's permissions, not by which buttons the app shows.
2. A user without edit rights who reaches a save action gets a refusal from SharePoint, which the app reports as "You don't have access".</t>
        </is>
      </c>
      <c r="E4" s="3" t="inlineStr">
        <is>
          <t>Acies default D6.</t>
        </is>
      </c>
    </row>
  </sheetData>
  <autoFilter ref="A1:E100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22" customWidth="1" min="3" max="3"/>
    <col width="60" customWidth="1" min="4" max="4"/>
    <col width="36" customWidth="1" min="5" max="5"/>
    <col width="40" customWidth="1" min="6" max="6"/>
    <col width="16" customWidth="1" min="7" max="7"/>
    <col width="11" customWidth="1" min="8" max="8"/>
    <col width="40" customWidth="1" min="9" max="9"/>
  </cols>
  <sheetData>
    <row r="1">
      <c r="A1" s="4" t="inlineStr">
        <is>
          <t>Q ID</t>
        </is>
      </c>
      <c r="B1" s="4" t="inlineStr">
        <is>
          <t>AC IDs</t>
        </is>
      </c>
      <c r="C1" s="4" t="inlineStr">
        <is>
          <t>Area</t>
        </is>
      </c>
      <c r="D1" s="4" t="inlineStr">
        <is>
          <t>Question</t>
        </is>
      </c>
      <c r="E1" s="4" t="inlineStr">
        <is>
          <t>Why it matters</t>
        </is>
      </c>
      <c r="F1" s="4" t="inlineStr">
        <is>
          <t>Current baseline (built if unanswered)</t>
        </is>
      </c>
      <c r="G1" s="4" t="inlineStr">
        <is>
          <t>Owner</t>
        </is>
      </c>
      <c r="H1" s="4" t="inlineStr">
        <is>
          <t>Status</t>
        </is>
      </c>
      <c r="I1" s="4" t="inlineStr">
        <is>
          <t>Answer · date</t>
        </is>
      </c>
    </row>
    <row r="2">
      <c r="A2" s="3" t="inlineStr">
        <is>
          <t>Q-01</t>
        </is>
      </c>
      <c r="B2" s="3" t="inlineStr">
        <is>
          <t>AC-CON-02</t>
        </is>
      </c>
      <c r="C2" s="3" t="inlineStr">
        <is>
          <t>Home</t>
        </is>
      </c>
      <c r="D2" s="3" t="inlineStr">
        <is>
          <t>Should the home screen's main button open the new-request form directly, or a choice of actions?</t>
        </is>
      </c>
      <c r="E2" s="3" t="inlineStr">
        <is>
          <t>A choice of actions needs another screen and its design.</t>
        </is>
      </c>
      <c r="F2" s="3" t="inlineStr">
        <is>
          <t>Opens the new-request form (AC-CON-03).</t>
        </is>
      </c>
      <c r="G2" s="3" t="inlineStr">
        <is>
          <t>Contoso PO</t>
        </is>
      </c>
      <c r="H2" s="3" t="inlineStr">
        <is>
          <t>Answered</t>
        </is>
      </c>
      <c r="I2" s="3" t="inlineStr">
        <is>
          <t>Phase 1 placeholder; opens New request once AC-CON-03 is built · 2026-10-22</t>
        </is>
      </c>
    </row>
    <row r="3">
      <c r="A3" s="3" t="inlineStr">
        <is>
          <t>Q-02</t>
        </is>
      </c>
      <c r="B3" s="3" t="inlineStr">
        <is>
          <t>AC-CON-07</t>
        </is>
      </c>
      <c r="C3" s="3" t="inlineStr">
        <is>
          <t>New request</t>
        </is>
      </c>
      <c r="D3" s="3" t="inlineStr">
        <is>
          <t>The BRD lists attachments on a request; the design and walkthrough don't. In scope for Phase 1?</t>
        </is>
      </c>
      <c r="E3" s="3" t="inlineStr">
        <is>
          <t>Attachments change the form, the list and the approval screen.</t>
        </is>
      </c>
      <c r="F3" s="3" t="inlineStr">
        <is>
          <t>Not built.</t>
        </is>
      </c>
      <c r="G3" s="3" t="inlineStr">
        <is>
          <t>Contoso PO</t>
        </is>
      </c>
      <c r="H3" s="3" t="inlineStr">
        <is>
          <t>Open</t>
        </is>
      </c>
      <c r="I3" s="3" t="n"/>
    </row>
  </sheetData>
  <autoFilter ref="A1:I1000"/>
  <dataValidations count="1">
    <dataValidation sqref="H2:H1000" showDropDown="0" showInputMessage="0" showErrorMessage="0" allowBlank="1" errorTitle="Not an allowed value" error="Pick a value from the list." type="list">
      <formula1>"Open,Answered,Closed"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34" customWidth="1" min="3" max="3"/>
    <col width="48" customWidth="1" min="4" max="4"/>
    <col width="18" customWidth="1" min="5" max="5"/>
    <col width="12" customWidth="1" min="6" max="6"/>
    <col width="36" customWidth="1" min="7" max="7"/>
  </cols>
  <sheetData>
    <row r="1">
      <c r="A1" s="4" t="inlineStr">
        <is>
          <t>Input ID</t>
        </is>
      </c>
      <c r="B1" s="4" t="inlineStr">
        <is>
          <t>AC ID</t>
        </is>
      </c>
      <c r="C1" s="4" t="inlineStr">
        <is>
          <t>Item</t>
        </is>
      </c>
      <c r="D1" s="4" t="inlineStr">
        <is>
          <t>Value / Link</t>
        </is>
      </c>
      <c r="E1" s="4" t="inlineStr">
        <is>
          <t>Provided By</t>
        </is>
      </c>
      <c r="F1" s="4" t="inlineStr">
        <is>
          <t>Status</t>
        </is>
      </c>
      <c r="G1" s="4" t="inlineStr">
        <is>
          <t>Notes</t>
        </is>
      </c>
    </row>
    <row r="2">
      <c r="A2" s="3" t="inlineStr">
        <is>
          <t>IN-01</t>
        </is>
      </c>
      <c r="B2" s="3" t="inlineStr">
        <is>
          <t>AC-CON-06</t>
        </is>
      </c>
      <c r="C2" s="3" t="inlineStr">
        <is>
          <t>Support mailbox address (per environment)</t>
        </is>
      </c>
      <c r="D2" s="3" t="n"/>
      <c r="E2" s="3" t="inlineStr">
        <is>
          <t>Contoso IT</t>
        </is>
      </c>
      <c r="F2" s="3" t="inlineStr">
        <is>
          <t>Awaiting</t>
        </is>
      </c>
      <c r="G2" s="3" t="inlineStr">
        <is>
          <t>Goes into deployment/settings.&lt;env&gt;.json, not the app.</t>
        </is>
      </c>
    </row>
    <row r="3">
      <c r="A3" s="3" t="inlineStr">
        <is>
          <t>IN-02</t>
        </is>
      </c>
      <c r="B3" s="3" t="inlineStr">
        <is>
          <t>AC-CON-05</t>
        </is>
      </c>
      <c r="C3" s="3" t="inlineStr">
        <is>
          <t>Name of the SharePoint group holding site approvers</t>
        </is>
      </c>
      <c r="D3" s="3" t="n"/>
      <c r="E3" s="3" t="inlineStr">
        <is>
          <t>Contoso IT</t>
        </is>
      </c>
      <c r="F3" s="3" t="inlineStr">
        <is>
          <t>Awaiting</t>
        </is>
      </c>
      <c r="G3" s="3" t="n"/>
    </row>
  </sheetData>
  <autoFilter ref="A1:G1000"/>
  <dataValidations count="1">
    <dataValidation sqref="F2:F1000" showDropDown="0" showInputMessage="0" showErrorMessage="0" allowBlank="1" errorTitle="Not an allowed value" error="Pick a value from the list." type="list">
      <formula1>"Awaiting,Received,Not Needed"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3" customWidth="1" min="2" max="2"/>
    <col width="9" customWidth="1" min="3" max="3"/>
    <col width="24" customWidth="1" min="4" max="4"/>
    <col width="20" customWidth="1" min="5" max="5"/>
    <col width="36" customWidth="1" min="6" max="6"/>
    <col width="13" customWidth="1" min="7" max="7"/>
    <col width="28" customWidth="1" min="8" max="8"/>
    <col width="48" customWidth="1" min="9" max="9"/>
    <col width="36" customWidth="1" min="10" max="10"/>
    <col width="10" customWidth="1" min="11" max="11"/>
    <col width="11" customWidth="1" min="12" max="12"/>
    <col width="30" customWidth="1" min="13" max="13"/>
    <col width="12" customWidth="1" min="14" max="14"/>
  </cols>
  <sheetData>
    <row r="1">
      <c r="A1" s="4" t="inlineStr">
        <is>
          <t>TC ID</t>
        </is>
      </c>
      <c r="B1" s="4" t="inlineStr">
        <is>
          <t>AC ID</t>
        </is>
      </c>
      <c r="C1" s="4" t="inlineStr">
        <is>
          <t>Check #</t>
        </is>
      </c>
      <c r="D1" s="4" t="inlineStr">
        <is>
          <t>Feature</t>
        </is>
      </c>
      <c r="E1" s="4" t="inlineStr">
        <is>
          <t>Power Apps Component</t>
        </is>
      </c>
      <c r="F1" s="4" t="inlineStr">
        <is>
          <t>Test Scenario</t>
        </is>
      </c>
      <c r="G1" s="4" t="inlineStr">
        <is>
          <t>Type</t>
        </is>
      </c>
      <c r="H1" s="4" t="inlineStr">
        <is>
          <t>Preconditions</t>
        </is>
      </c>
      <c r="I1" s="4" t="inlineStr">
        <is>
          <t>Steps</t>
        </is>
      </c>
      <c r="J1" s="4" t="inlineStr">
        <is>
          <t>Expected Result</t>
        </is>
      </c>
      <c r="K1" s="4" t="inlineStr">
        <is>
          <t>Iteration</t>
        </is>
      </c>
      <c r="L1" s="4" t="inlineStr">
        <is>
          <t>Status</t>
        </is>
      </c>
      <c r="M1" s="4" t="inlineStr">
        <is>
          <t>Comments</t>
        </is>
      </c>
      <c r="N1" s="4" t="inlineStr">
        <is>
          <t>Bug Ref</t>
        </is>
      </c>
    </row>
    <row r="2">
      <c r="A2" s="3" t="inlineStr">
        <is>
          <t>TC-HOME-001</t>
        </is>
      </c>
      <c r="B2" s="3" t="inlineStr">
        <is>
          <t>AC-CON-01</t>
        </is>
      </c>
      <c r="C2" s="3" t="n">
        <v>1</v>
      </c>
      <c r="D2" s="3">
        <f>IF(B2="","",IFERROR(INDEX('Acceptance Criteria'!$D:$D,MATCH(B2,'Acceptance Criteria'!$A:$A,0)),IFERROR(INDEX('Delivery Standards'!$B:$B,MATCH(B2,'Delivery Standards'!$A:$A,0)),"⚠ Unknown AC ID")))</f>
        <v/>
      </c>
      <c r="E2" s="3">
        <f>IF(B2="","",IFERROR(INDEX('Acceptance Criteria'!$G:$G,MATCH(B2,'Acceptance Criteria'!$A:$A,0)),IFERROR(INDEX('Delivery Standards'!$C:$C,MATCH(B2,'Delivery Standards'!$A:$A,0)),"⚠ Unknown AC ID")))</f>
        <v/>
      </c>
      <c r="F2" s="3" t="inlineStr">
        <is>
          <t>The header shows the app's name</t>
        </is>
      </c>
      <c r="G2" s="3" t="inlineStr">
        <is>
          <t>Positive</t>
        </is>
      </c>
      <c r="H2" s="3" t="inlineStr">
        <is>
          <t>The app is published and shared with the tester.</t>
        </is>
      </c>
      <c r="I2" s="3" t="inlineStr">
        <is>
          <t>1. Open the app.
2. Look at the top of the home screen.</t>
        </is>
      </c>
      <c r="J2" s="3" t="inlineStr">
        <is>
          <t>A brand-coloured band across the top shows "Site Requests".</t>
        </is>
      </c>
      <c r="K2" s="3" t="n">
        <v>1</v>
      </c>
      <c r="L2" s="3" t="inlineStr">
        <is>
          <t>Not Run</t>
        </is>
      </c>
      <c r="M2" s="3" t="n"/>
      <c r="N2" s="3" t="n"/>
    </row>
    <row r="3">
      <c r="A3" s="3" t="inlineStr">
        <is>
          <t>TC-HOME-002</t>
        </is>
      </c>
      <c r="B3" s="3" t="inlineStr">
        <is>
          <t>AC-CON-02</t>
        </is>
      </c>
      <c r="C3" s="3" t="n">
        <v>1</v>
      </c>
      <c r="D3" s="3">
        <f>IF(B3="","",IFERROR(INDEX('Acceptance Criteria'!$D:$D,MATCH(B3,'Acceptance Criteria'!$A:$A,0)),IFERROR(INDEX('Delivery Standards'!$B:$B,MATCH(B3,'Delivery Standards'!$A:$A,0)),"⚠ Unknown AC ID")))</f>
        <v/>
      </c>
      <c r="E3" s="3">
        <f>IF(B3="","",IFERROR(INDEX('Acceptance Criteria'!$G:$G,MATCH(B3,'Acceptance Criteria'!$A:$A,0)),IFERROR(INDEX('Delivery Standards'!$C:$C,MATCH(B3,'Delivery Standards'!$A:$A,0)),"⚠ Unknown AC ID")))</f>
        <v/>
      </c>
      <c r="F3" s="3" t="inlineStr">
        <is>
          <t>The welcome uses the signed-in user's name</t>
        </is>
      </c>
      <c r="G3" s="3" t="inlineStr">
        <is>
          <t>Positive</t>
        </is>
      </c>
      <c r="H3" s="3" t="inlineStr">
        <is>
          <t>Tester signed in as a user whose full name is known.</t>
        </is>
      </c>
      <c r="I3" s="3" t="inlineStr">
        <is>
          <t>1. Open the app.
2. Read the line below the header.</t>
        </is>
      </c>
      <c r="J3" s="3" t="inlineStr">
        <is>
          <t>It reads "Welcome, &lt;tester's full name&gt;".</t>
        </is>
      </c>
      <c r="K3" s="3" t="n">
        <v>1</v>
      </c>
      <c r="L3" s="3" t="inlineStr">
        <is>
          <t>Not Run</t>
        </is>
      </c>
      <c r="M3" s="3" t="n"/>
      <c r="N3" s="3" t="n"/>
    </row>
    <row r="4">
      <c r="A4" s="3" t="inlineStr">
        <is>
          <t>TC-REQ-001</t>
        </is>
      </c>
      <c r="B4" s="3" t="inlineStr">
        <is>
          <t>AC-CON-03</t>
        </is>
      </c>
      <c r="C4" s="3" t="n">
        <v>2</v>
      </c>
      <c r="D4" s="3">
        <f>IF(B4="","",IFERROR(INDEX('Acceptance Criteria'!$D:$D,MATCH(B4,'Acceptance Criteria'!$A:$A,0)),IFERROR(INDEX('Delivery Standards'!$B:$B,MATCH(B4,'Delivery Standards'!$A:$A,0)),"⚠ Unknown AC ID")))</f>
        <v/>
      </c>
      <c r="E4" s="3">
        <f>IF(B4="","",IFERROR(INDEX('Acceptance Criteria'!$G:$G,MATCH(B4,'Acceptance Criteria'!$A:$A,0)),IFERROR(INDEX('Delivery Standards'!$C:$C,MATCH(B4,'Delivery Standards'!$A:$A,0)),"⚠ Unknown AC ID")))</f>
        <v/>
      </c>
      <c r="F4" s="3" t="inlineStr">
        <is>
          <t>Submitting with the justification empty is refused</t>
        </is>
      </c>
      <c r="G4" s="3" t="inlineStr">
        <is>
          <t>Negative</t>
        </is>
      </c>
      <c r="H4" s="3" t="inlineStr">
        <is>
          <t>Tester can open the new-request screen.</t>
        </is>
      </c>
      <c r="I4" s="3" t="inlineStr">
        <is>
          <t>1. Open New request.
2. Enter a site name and choose a site type.
3. Leave the justification empty.
4. Select Submit.</t>
        </is>
      </c>
      <c r="J4" s="3" t="inlineStr">
        <is>
          <t>The form stays open and says the business justification is required, next to that field. No request is created.</t>
        </is>
      </c>
      <c r="K4" s="3" t="n">
        <v>1</v>
      </c>
      <c r="L4" s="3" t="inlineStr">
        <is>
          <t>Not Run</t>
        </is>
      </c>
      <c r="M4" s="3" t="n"/>
      <c r="N4" s="3" t="n"/>
    </row>
    <row r="5">
      <c r="A5" s="3" t="inlineStr">
        <is>
          <t>TC-NOTIFY-001</t>
        </is>
      </c>
      <c r="B5" s="3" t="inlineStr">
        <is>
          <t>AC-CON-06</t>
        </is>
      </c>
      <c r="C5" s="3" t="n">
        <v>1</v>
      </c>
      <c r="D5" s="3">
        <f>IF(B5="","",IFERROR(INDEX('Acceptance Criteria'!$D:$D,MATCH(B5,'Acceptance Criteria'!$A:$A,0)),IFERROR(INDEX('Delivery Standards'!$B:$B,MATCH(B5,'Delivery Standards'!$A:$A,0)),"⚠ Unknown AC ID")))</f>
        <v/>
      </c>
      <c r="E5" s="3">
        <f>IF(B5="","",IFERROR(INDEX('Acceptance Criteria'!$G:$G,MATCH(B5,'Acceptance Criteria'!$A:$A,0)),IFERROR(INDEX('Delivery Standards'!$C:$C,MATCH(B5,'Delivery Standards'!$A:$A,0)),"⚠ Unknown AC ID")))</f>
        <v/>
      </c>
      <c r="F5" s="3" t="inlineStr">
        <is>
          <t>A new request emails the support mailbox</t>
        </is>
      </c>
      <c r="G5" s="3" t="inlineStr">
        <is>
          <t>Positive</t>
        </is>
      </c>
      <c r="H5" s="3" t="inlineStr">
        <is>
          <t>The flow is on; the support address variable holds a mailbox the tester can read (IN-01).</t>
        </is>
      </c>
      <c r="I5" s="3" t="inlineStr">
        <is>
          <t>1. Submit a new request titled "TC-NOTIFY-001".
2. Wait up to 5 minutes.
3. Check the support mailbox.</t>
        </is>
      </c>
      <c r="J5" s="3" t="inlineStr">
        <is>
          <t>An email with "TC-NOTIFY-001" in the subject has arrived, linking to the new item.</t>
        </is>
      </c>
      <c r="K5" s="3" t="n">
        <v>1</v>
      </c>
      <c r="L5" s="3" t="inlineStr">
        <is>
          <t>Not Run</t>
        </is>
      </c>
      <c r="M5" s="3" t="inlineStr">
        <is>
          <t>Blocked until IN-01 is received.</t>
        </is>
      </c>
      <c r="N5" s="3" t="n"/>
    </row>
    <row r="6">
      <c r="A6" s="3" t="inlineStr">
        <is>
          <t>TC-A11Y-001</t>
        </is>
      </c>
      <c r="B6" s="3" t="inlineStr">
        <is>
          <t>STD-A11Y</t>
        </is>
      </c>
      <c r="C6" s="3" t="n">
        <v>1</v>
      </c>
      <c r="D6" s="3">
        <f>IF(B6="","",IFERROR(INDEX('Acceptance Criteria'!$D:$D,MATCH(B6,'Acceptance Criteria'!$A:$A,0)),IFERROR(INDEX('Delivery Standards'!$B:$B,MATCH(B6,'Delivery Standards'!$A:$A,0)),"⚠ Unknown AC ID")))</f>
        <v/>
      </c>
      <c r="E6" s="3">
        <f>IF(B6="","",IFERROR(INDEX('Acceptance Criteria'!$G:$G,MATCH(B6,'Acceptance Criteria'!$A:$A,0)),IFERROR(INDEX('Delivery Standards'!$C:$C,MATCH(B6,'Delivery Standards'!$A:$A,0)),"⚠ Unknown AC ID")))</f>
        <v/>
      </c>
      <c r="F6" s="3" t="inlineStr">
        <is>
          <t>Keyboard-only pass of the home screen</t>
        </is>
      </c>
      <c r="G6" s="3" t="inlineStr">
        <is>
          <t>Accessibility</t>
        </is>
      </c>
      <c r="H6" s="3" t="n"/>
      <c r="I6" s="3" t="inlineStr">
        <is>
          <t>1. Open the app.
2. Using Tab, Shift+Tab, Enter and Space only, operate every control on the home screen.</t>
        </is>
      </c>
      <c r="J6" s="3" t="inlineStr">
        <is>
          <t>Every control is reachable in reading order with a visible focus indicator; nothing traps focus.</t>
        </is>
      </c>
      <c r="K6" s="3" t="n">
        <v>1</v>
      </c>
      <c r="L6" s="3" t="inlineStr">
        <is>
          <t>Not Run</t>
        </is>
      </c>
      <c r="M6" s="3" t="n"/>
      <c r="N6" s="3" t="n"/>
    </row>
  </sheetData>
  <autoFilter ref="A1:N1000"/>
  <dataValidations count="2">
    <dataValidation sqref="G2:G1000" showDropDown="0" showInputMessage="0" showErrorMessage="0" allowBlank="1" errorTitle="Not an allowed value" error="Pick a value from the list." type="list">
      <formula1>"Positive,Negative,Edge,Boundary,Stress,Accessibility,UI"</formula1>
    </dataValidation>
    <dataValidation sqref="L2:L1000" showDropDown="0" showInputMessage="0" showErrorMessage="0" allowBlank="1" errorTitle="Not an allowed value" error="Pick a value from the list." type="list">
      <formula1>"Not Run,Pass,Fail,Blocked"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26" customWidth="1" min="1" max="1"/>
    <col width="12" customWidth="1" min="2" max="2"/>
    <col width="11" customWidth="1" min="3" max="3"/>
    <col width="10" customWidth="1" min="4" max="4"/>
    <col width="10" customWidth="1" min="5" max="5"/>
    <col width="10" customWidth="1" min="6" max="6"/>
    <col width="10" customWidth="1" min="7" max="7"/>
    <col width="11" customWidth="1" min="8" max="8"/>
  </cols>
  <sheetData>
    <row r="1">
      <c r="A1" s="1" t="inlineStr">
        <is>
          <t>Test execution by component (latest result of each test case)</t>
        </is>
      </c>
    </row>
    <row r="3">
      <c r="A3" s="5" t="inlineStr">
        <is>
          <t>Power Apps Component</t>
        </is>
      </c>
      <c r="B3" s="5" t="inlineStr">
        <is>
          <t>Test Cases</t>
        </is>
      </c>
      <c r="C3" s="5" t="inlineStr">
        <is>
          <t>Executed</t>
        </is>
      </c>
      <c r="D3" s="5" t="inlineStr">
        <is>
          <t>Passed</t>
        </is>
      </c>
      <c r="E3" s="5" t="inlineStr">
        <is>
          <t>Failed</t>
        </is>
      </c>
      <c r="F3" s="5" t="inlineStr">
        <is>
          <t>Blocked</t>
        </is>
      </c>
      <c r="G3" s="5" t="inlineStr">
        <is>
          <t>Not Run</t>
        </is>
      </c>
      <c r="H3" s="5" t="inlineStr">
        <is>
          <t>Pass Rate</t>
        </is>
      </c>
    </row>
    <row r="4">
      <c r="A4" t="inlineStr">
        <is>
          <t>StarterApp: scrHome</t>
        </is>
      </c>
      <c r="B4">
        <f>COUNTIF('Test Cases'!$E:$E,A4)</f>
        <v/>
      </c>
      <c r="C4">
        <f>B4-G4</f>
        <v/>
      </c>
      <c r="D4">
        <f>COUNTIFS('Test Cases'!$E:$E,A4,'Test Cases'!$L:$L,"Pass")</f>
        <v/>
      </c>
      <c r="E4">
        <f>COUNTIFS('Test Cases'!$E:$E,A4,'Test Cases'!$L:$L,"Fail")</f>
        <v/>
      </c>
      <c r="F4">
        <f>COUNTIFS('Test Cases'!$E:$E,A4,'Test Cases'!$L:$L,"Blocked")</f>
        <v/>
      </c>
      <c r="G4">
        <f>COUNTIFS('Test Cases'!$E:$E,A4,'Test Cases'!$L:$L,"Not Run")</f>
        <v/>
      </c>
      <c r="H4" s="6">
        <f>IF(C4=0,"",D4/C4)</f>
        <v/>
      </c>
    </row>
    <row r="5">
      <c r="A5" t="inlineStr">
        <is>
          <t>SiteRequests: scrNewRequest</t>
        </is>
      </c>
      <c r="B5">
        <f>COUNTIF('Test Cases'!$E:$E,A5)</f>
        <v/>
      </c>
      <c r="C5">
        <f>B5-G5</f>
        <v/>
      </c>
      <c r="D5">
        <f>COUNTIFS('Test Cases'!$E:$E,A5,'Test Cases'!$L:$L,"Pass")</f>
        <v/>
      </c>
      <c r="E5">
        <f>COUNTIFS('Test Cases'!$E:$E,A5,'Test Cases'!$L:$L,"Fail")</f>
        <v/>
      </c>
      <c r="F5">
        <f>COUNTIFS('Test Cases'!$E:$E,A5,'Test Cases'!$L:$L,"Blocked")</f>
        <v/>
      </c>
      <c r="G5">
        <f>COUNTIFS('Test Cases'!$E:$E,A5,'Test Cases'!$L:$L,"Not Run")</f>
        <v/>
      </c>
      <c r="H5" s="6">
        <f>IF(C5=0,"",D5/C5)</f>
        <v/>
      </c>
    </row>
    <row r="6">
      <c r="A6" t="inlineStr">
        <is>
          <t>SiteRequests: scrMyRequests</t>
        </is>
      </c>
      <c r="B6">
        <f>COUNTIF('Test Cases'!$E:$E,A6)</f>
        <v/>
      </c>
      <c r="C6">
        <f>B6-G6</f>
        <v/>
      </c>
      <c r="D6">
        <f>COUNTIFS('Test Cases'!$E:$E,A6,'Test Cases'!$L:$L,"Pass")</f>
        <v/>
      </c>
      <c r="E6">
        <f>COUNTIFS('Test Cases'!$E:$E,A6,'Test Cases'!$L:$L,"Fail")</f>
        <v/>
      </c>
      <c r="F6">
        <f>COUNTIFS('Test Cases'!$E:$E,A6,'Test Cases'!$L:$L,"Blocked")</f>
        <v/>
      </c>
      <c r="G6">
        <f>COUNTIFS('Test Cases'!$E:$E,A6,'Test Cases'!$L:$L,"Not Run")</f>
        <v/>
      </c>
      <c r="H6" s="6">
        <f>IF(C6=0,"",D6/C6)</f>
        <v/>
      </c>
    </row>
    <row r="7">
      <c r="A7" t="inlineStr">
        <is>
          <t>SiteRequests: scrApprovals</t>
        </is>
      </c>
      <c r="B7">
        <f>COUNTIF('Test Cases'!$E:$E,A7)</f>
        <v/>
      </c>
      <c r="C7">
        <f>B7-G7</f>
        <v/>
      </c>
      <c r="D7">
        <f>COUNTIFS('Test Cases'!$E:$E,A7,'Test Cases'!$L:$L,"Pass")</f>
        <v/>
      </c>
      <c r="E7">
        <f>COUNTIFS('Test Cases'!$E:$E,A7,'Test Cases'!$L:$L,"Fail")</f>
        <v/>
      </c>
      <c r="F7">
        <f>COUNTIFS('Test Cases'!$E:$E,A7,'Test Cases'!$L:$L,"Blocked")</f>
        <v/>
      </c>
      <c r="G7">
        <f>COUNTIFS('Test Cases'!$E:$E,A7,'Test Cases'!$L:$L,"Not Run")</f>
        <v/>
      </c>
      <c r="H7" s="6">
        <f>IF(C7=0,"",D7/C7)</f>
        <v/>
      </c>
    </row>
    <row r="8">
      <c r="A8" t="inlineStr">
        <is>
          <t>Flow: Sample - Notify on new item</t>
        </is>
      </c>
      <c r="B8">
        <f>COUNTIF('Test Cases'!$E:$E,A8)</f>
        <v/>
      </c>
      <c r="C8">
        <f>B8-G8</f>
        <v/>
      </c>
      <c r="D8">
        <f>COUNTIFS('Test Cases'!$E:$E,A8,'Test Cases'!$L:$L,"Pass")</f>
        <v/>
      </c>
      <c r="E8">
        <f>COUNTIFS('Test Cases'!$E:$E,A8,'Test Cases'!$L:$L,"Fail")</f>
        <v/>
      </c>
      <c r="F8">
        <f>COUNTIFS('Test Cases'!$E:$E,A8,'Test Cases'!$L:$L,"Blocked")</f>
        <v/>
      </c>
      <c r="G8">
        <f>COUNTIFS('Test Cases'!$E:$E,A8,'Test Cases'!$L:$L,"Not Run")</f>
        <v/>
      </c>
      <c r="H8" s="6">
        <f>IF(C8=0,"",D8/C8)</f>
        <v/>
      </c>
    </row>
    <row r="9">
      <c r="A9" t="inlineStr">
        <is>
          <t>All</t>
        </is>
      </c>
      <c r="B9">
        <f>COUNTIF('Test Cases'!$E:$E,A9)</f>
        <v/>
      </c>
      <c r="C9">
        <f>B9-G9</f>
        <v/>
      </c>
      <c r="D9">
        <f>COUNTIFS('Test Cases'!$E:$E,A9,'Test Cases'!$L:$L,"Pass")</f>
        <v/>
      </c>
      <c r="E9">
        <f>COUNTIFS('Test Cases'!$E:$E,A9,'Test Cases'!$L:$L,"Fail")</f>
        <v/>
      </c>
      <c r="F9">
        <f>COUNTIFS('Test Cases'!$E:$E,A9,'Test Cases'!$L:$L,"Blocked")</f>
        <v/>
      </c>
      <c r="G9">
        <f>COUNTIFS('Test Cases'!$E:$E,A9,'Test Cases'!$L:$L,"Not Run")</f>
        <v/>
      </c>
      <c r="H9" s="6">
        <f>IF(C9=0,"",D9/C9)</f>
        <v/>
      </c>
    </row>
    <row r="10">
      <c r="A10" t="inlineStr">
        <is>
          <t>Every screen that shows list data</t>
        </is>
      </c>
      <c r="B10">
        <f>COUNTIF('Test Cases'!$E:$E,A10)</f>
        <v/>
      </c>
      <c r="C10">
        <f>B10-G10</f>
        <v/>
      </c>
      <c r="D10">
        <f>COUNTIFS('Test Cases'!$E:$E,A10,'Test Cases'!$L:$L,"Pass")</f>
        <v/>
      </c>
      <c r="E10">
        <f>COUNTIFS('Test Cases'!$E:$E,A10,'Test Cases'!$L:$L,"Fail")</f>
        <v/>
      </c>
      <c r="F10">
        <f>COUNTIFS('Test Cases'!$E:$E,A10,'Test Cases'!$L:$L,"Blocked")</f>
        <v/>
      </c>
      <c r="G10">
        <f>COUNTIFS('Test Cases'!$E:$E,A10,'Test Cases'!$L:$L,"Not Run")</f>
        <v/>
      </c>
      <c r="H10" s="6">
        <f>IF(C10=0,"",D10/C10)</f>
        <v/>
      </c>
    </row>
    <row r="11">
      <c r="A11" t="inlineStr">
        <is>
          <t>Every list</t>
        </is>
      </c>
      <c r="B11">
        <f>COUNTIF('Test Cases'!$E:$E,A11)</f>
        <v/>
      </c>
      <c r="C11">
        <f>B11-G11</f>
        <v/>
      </c>
      <c r="D11">
        <f>COUNTIFS('Test Cases'!$E:$E,A11,'Test Cases'!$L:$L,"Pass")</f>
        <v/>
      </c>
      <c r="E11">
        <f>COUNTIFS('Test Cases'!$E:$E,A11,'Test Cases'!$L:$L,"Fail")</f>
        <v/>
      </c>
      <c r="F11">
        <f>COUNTIFS('Test Cases'!$E:$E,A11,'Test Cases'!$L:$L,"Blocked")</f>
        <v/>
      </c>
      <c r="G11">
        <f>COUNTIFS('Test Cases'!$E:$E,A11,'Test Cases'!$L:$L,"Not Run")</f>
        <v/>
      </c>
      <c r="H11" s="6">
        <f>IF(C11=0,"",D11/C11)</f>
        <v/>
      </c>
    </row>
    <row r="12">
      <c r="A12" s="2" t="inlineStr">
        <is>
          <t>Total</t>
        </is>
      </c>
      <c r="B12" s="2">
        <f>SUM(B4:B11)</f>
        <v/>
      </c>
      <c r="C12" s="2">
        <f>SUM(C4:C11)</f>
        <v/>
      </c>
      <c r="D12" s="2">
        <f>SUM(D4:D11)</f>
        <v/>
      </c>
      <c r="E12" s="2">
        <f>SUM(E4:E11)</f>
        <v/>
      </c>
      <c r="F12" s="2">
        <f>SUM(F4:F11)</f>
        <v/>
      </c>
      <c r="G12" s="2">
        <f>SUM(G4:G11)</f>
        <v/>
      </c>
      <c r="H12" s="6">
        <f>IF(C12=0,"",D12/C12)</f>
        <v/>
      </c>
    </row>
    <row r="15">
      <c r="A15" s="1" t="inlineStr">
        <is>
          <t>Acceptance criteria by status</t>
        </is>
      </c>
    </row>
    <row r="17">
      <c r="A17" s="5" t="inlineStr">
        <is>
          <t>Status</t>
        </is>
      </c>
      <c r="B17" s="5" t="inlineStr">
        <is>
          <t>Count</t>
        </is>
      </c>
    </row>
    <row r="18">
      <c r="A18" t="inlineStr">
        <is>
          <t>Candidate</t>
        </is>
      </c>
      <c r="B18">
        <f>COUNTIF('Acceptance Criteria'!$N:$N,A18)</f>
        <v/>
      </c>
    </row>
    <row r="19">
      <c r="A19" t="inlineStr">
        <is>
          <t>Draft</t>
        </is>
      </c>
      <c r="B19">
        <f>COUNTIF('Acceptance Criteria'!$N:$N,A19)</f>
        <v/>
      </c>
    </row>
    <row r="20">
      <c r="A20" t="inlineStr">
        <is>
          <t>In Review</t>
        </is>
      </c>
      <c r="B20">
        <f>COUNTIF('Acceptance Criteria'!$N:$N,A20)</f>
        <v/>
      </c>
    </row>
    <row r="21">
      <c r="A21" t="inlineStr">
        <is>
          <t>Approved</t>
        </is>
      </c>
      <c r="B21">
        <f>COUNTIF('Acceptance Criteria'!$N:$N,A21)</f>
        <v/>
      </c>
    </row>
    <row r="22">
      <c r="A22" t="inlineStr">
        <is>
          <t>Changed</t>
        </is>
      </c>
      <c r="B22">
        <f>COUNTIF('Acceptance Criteria'!$N:$N,A22)</f>
        <v/>
      </c>
    </row>
    <row r="23">
      <c r="A23" t="inlineStr">
        <is>
          <t>On Hold</t>
        </is>
      </c>
      <c r="B23">
        <f>COUNTIF('Acceptance Criteria'!$N:$N,A23)</f>
        <v/>
      </c>
    </row>
    <row r="24">
      <c r="A24" t="inlineStr">
        <is>
          <t>Out of Scope</t>
        </is>
      </c>
      <c r="B24">
        <f>COUNTIF('Acceptance Criteria'!$N:$N,A24)</f>
        <v/>
      </c>
    </row>
    <row r="26">
      <c r="A26" s="2" t="inlineStr">
        <is>
          <t>Live criteria with no test case</t>
        </is>
      </c>
      <c r="B26">
        <f>SUMPRODUCT(('Acceptance Criteria'!$A$2:$A$1000&lt;&gt;"")*((('Acceptance Criteria'!$N$2:$N$1000="Approved")+('Acceptance Criteria'!$N$2:$N$1000="Changed"))&gt;0)*(COUNTIF('Test Cases'!$B$2:$B$1000,'Acceptance Criteria'!$A$2:$A$1000)=0))</f>
        <v/>
      </c>
    </row>
    <row r="27">
      <c r="A27" s="7" t="inlineStr">
        <is>
          <t>Run `uv run tools/ac_workbook.py check` for the list.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60" customWidth="1" min="2" max="2"/>
    <col width="50" customWidth="1" min="3" max="3"/>
  </cols>
  <sheetData>
    <row r="1">
      <c r="A1" s="4" t="inlineStr">
        <is>
          <t>Artefact</t>
        </is>
      </c>
      <c r="B1" s="4" t="inlineStr">
        <is>
          <t>Location</t>
        </is>
      </c>
      <c r="C1" s="4" t="inlineStr">
        <is>
          <t>Notes</t>
        </is>
      </c>
    </row>
    <row r="2">
      <c r="A2" s="3" t="inlineStr">
        <is>
          <t>BRD</t>
        </is>
      </c>
      <c r="B2" s="3" t="inlineStr">
        <is>
          <t>inputs/brd/Contoso_SiteRequests_BRD_v2.xlsx</t>
        </is>
      </c>
      <c r="C2" s="3" t="inlineStr">
        <is>
          <t>Signed-off version.</t>
        </is>
      </c>
    </row>
    <row r="3">
      <c r="A3" s="3" t="inlineStr">
        <is>
          <t>PO walkthrough</t>
        </is>
      </c>
      <c r="B3" s="3" t="inlineStr">
        <is>
          <t>inputs/transcripts/2026-10-16-po-walkthrough.vtt</t>
        </is>
      </c>
      <c r="C3" s="3" t="n"/>
    </row>
    <row r="4">
      <c r="A4" s="3" t="inlineStr">
        <is>
          <t>Accepted design</t>
        </is>
      </c>
      <c r="B4" s="3" t="inlineStr">
        <is>
          <t>inputs/design/</t>
        </is>
      </c>
      <c r="C4" s="3" t="inlineStr">
        <is>
          <t>v2 PNGs, accepted 2026-10-17.</t>
        </is>
      </c>
    </row>
    <row r="5">
      <c r="A5" s="3" t="inlineStr">
        <is>
          <t>Brand guidelines</t>
        </is>
      </c>
      <c r="B5" s="3" t="inlineStr">
        <is>
          <t>inputs/branding/Contoso_Brand_2026.pdf</t>
        </is>
      </c>
      <c r="C5" s="3" t="n"/>
    </row>
  </sheetData>
  <autoFilter ref="A1:C10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2026-10-28T09:06:19Z</dcterms:created>
  <dcterms:modified xmlns:dcterms="http://purl.org/dc/terms/" xmlns:xsi="http://www.w3.org/2001/XMLSchema-instance" xsi:type="dcterms:W3CDTF">2026-10-28T09:06:19Z</dcterms:modified>
</cp:coreProperties>
</file>