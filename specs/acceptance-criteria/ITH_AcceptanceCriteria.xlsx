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Claude-Powerapps\ItHelp\specs\acceptance-criteria\"/>
    </mc:Choice>
  </mc:AlternateContent>
  <xr:revisionPtr revIDLastSave="0" documentId="13_ncr:1_{75215794-2615-4F8F-AEE4-C4B8E03036CC}" xr6:coauthVersionLast="47" xr6:coauthVersionMax="47" xr10:uidLastSave="{00000000-0000-0000-0000-000000000000}"/>
  <bookViews>
    <workbookView xWindow="-108" yWindow="-108" windowWidth="23256" windowHeight="12456" xr2:uid="{00000000-000D-0000-FFFF-FFFF00000000}"/>
  </bookViews>
  <sheets>
    <sheet name="Read Me" sheetId="1" r:id="rId1"/>
    <sheet name="Acceptance Criteria" sheetId="2" r:id="rId2"/>
    <sheet name="Delivery Standards" sheetId="3" r:id="rId3"/>
    <sheet name="Questions" sheetId="4" r:id="rId4"/>
    <sheet name="Client Inputs" sheetId="5" r:id="rId5"/>
    <sheet name="Test Cases" sheetId="6" r:id="rId6"/>
    <sheet name="Summary" sheetId="7" r:id="rId7"/>
    <sheet name="References" sheetId="8" r:id="rId8"/>
  </sheets>
  <definedNames>
    <definedName name="_xlnm._FilterDatabase" localSheetId="1" hidden="1">'Acceptance Criteria'!$A$1:$O$1000</definedName>
    <definedName name="_xlnm._FilterDatabase" localSheetId="4" hidden="1">'Client Inputs'!$A$1:$G$1000</definedName>
    <definedName name="_xlnm._FilterDatabase" localSheetId="2" hidden="1">'Delivery Standards'!$A$1:$E$1000</definedName>
    <definedName name="_xlnm._FilterDatabase" localSheetId="3" hidden="1">Questions!$A$1:$I$1000</definedName>
    <definedName name="_xlnm._FilterDatabase" localSheetId="7" hidden="1">References!$A$1:$C$1000</definedName>
    <definedName name="_xlnm._FilterDatabase" localSheetId="5" hidden="1">'Test Cases'!$A$1:$N$1000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7" l="1"/>
  <c r="B31" i="7"/>
  <c r="B30" i="7"/>
  <c r="B29" i="7"/>
  <c r="B28" i="7"/>
  <c r="B27" i="7"/>
  <c r="B26" i="7"/>
  <c r="B25" i="7"/>
  <c r="G18" i="7"/>
  <c r="F18" i="7"/>
  <c r="E18" i="7"/>
  <c r="D18" i="7"/>
  <c r="B18" i="7"/>
  <c r="C18" i="7" s="1"/>
  <c r="H18" i="7" s="1"/>
  <c r="G17" i="7"/>
  <c r="F17" i="7"/>
  <c r="E17" i="7"/>
  <c r="D17" i="7"/>
  <c r="B17" i="7"/>
  <c r="C17" i="7" s="1"/>
  <c r="H17" i="7" s="1"/>
  <c r="G16" i="7"/>
  <c r="F16" i="7"/>
  <c r="E16" i="7"/>
  <c r="D16" i="7"/>
  <c r="B16" i="7"/>
  <c r="C16" i="7" s="1"/>
  <c r="H16" i="7" s="1"/>
  <c r="G15" i="7"/>
  <c r="F15" i="7"/>
  <c r="E15" i="7"/>
  <c r="D15" i="7"/>
  <c r="B15" i="7"/>
  <c r="C15" i="7" s="1"/>
  <c r="H15" i="7" s="1"/>
  <c r="G14" i="7"/>
  <c r="F14" i="7"/>
  <c r="E14" i="7"/>
  <c r="D14" i="7"/>
  <c r="B14" i="7"/>
  <c r="C14" i="7" s="1"/>
  <c r="H14" i="7" s="1"/>
  <c r="G13" i="7"/>
  <c r="F13" i="7"/>
  <c r="E13" i="7"/>
  <c r="D13" i="7"/>
  <c r="B13" i="7"/>
  <c r="C13" i="7" s="1"/>
  <c r="H13" i="7" s="1"/>
  <c r="G12" i="7"/>
  <c r="F12" i="7"/>
  <c r="E12" i="7"/>
  <c r="D12" i="7"/>
  <c r="B12" i="7"/>
  <c r="C12" i="7" s="1"/>
  <c r="H12" i="7" s="1"/>
  <c r="G11" i="7"/>
  <c r="F11" i="7"/>
  <c r="E11" i="7"/>
  <c r="D11" i="7"/>
  <c r="C11" i="7"/>
  <c r="H11" i="7" s="1"/>
  <c r="B11" i="7"/>
  <c r="G10" i="7"/>
  <c r="F10" i="7"/>
  <c r="E10" i="7"/>
  <c r="D10" i="7"/>
  <c r="B10" i="7"/>
  <c r="C10" i="7" s="1"/>
  <c r="H10" i="7" s="1"/>
  <c r="G9" i="7"/>
  <c r="F9" i="7"/>
  <c r="E9" i="7"/>
  <c r="D9" i="7"/>
  <c r="B9" i="7"/>
  <c r="C9" i="7" s="1"/>
  <c r="H9" i="7" s="1"/>
  <c r="G8" i="7"/>
  <c r="F8" i="7"/>
  <c r="E8" i="7"/>
  <c r="D8" i="7"/>
  <c r="B8" i="7"/>
  <c r="C8" i="7" s="1"/>
  <c r="H8" i="7" s="1"/>
  <c r="G7" i="7"/>
  <c r="F7" i="7"/>
  <c r="E7" i="7"/>
  <c r="D7" i="7"/>
  <c r="B7" i="7"/>
  <c r="C7" i="7" s="1"/>
  <c r="H7" i="7" s="1"/>
  <c r="G6" i="7"/>
  <c r="F6" i="7"/>
  <c r="E6" i="7"/>
  <c r="D6" i="7"/>
  <c r="B6" i="7"/>
  <c r="C6" i="7" s="1"/>
  <c r="H6" i="7" s="1"/>
  <c r="G5" i="7"/>
  <c r="F5" i="7"/>
  <c r="E5" i="7"/>
  <c r="D5" i="7"/>
  <c r="B5" i="7"/>
  <c r="C5" i="7" s="1"/>
  <c r="H5" i="7" s="1"/>
  <c r="G4" i="7"/>
  <c r="G19" i="7" s="1"/>
  <c r="F4" i="7"/>
  <c r="F19" i="7" s="1"/>
  <c r="E4" i="7"/>
  <c r="E19" i="7" s="1"/>
  <c r="D4" i="7"/>
  <c r="D19" i="7" s="1"/>
  <c r="B4" i="7"/>
  <c r="B19" i="7" l="1"/>
  <c r="C4" i="7"/>
  <c r="C19" i="7" l="1"/>
  <c r="H19" i="7" s="1"/>
  <c r="H4" i="7"/>
</calcChain>
</file>

<file path=xl/sharedStrings.xml><?xml version="1.0" encoding="utf-8"?>
<sst xmlns="http://schemas.openxmlformats.org/spreadsheetml/2006/main" count="946" uniqueCount="594">
  <si>
    <t>IT Help — Acceptance Criteria</t>
  </si>
  <si>
    <t>Document control</t>
  </si>
  <si>
    <t>Client</t>
  </si>
  <si>
    <t>Acies Innovations</t>
  </si>
  <si>
    <t>Project code</t>
  </si>
  <si>
    <t>ITH</t>
  </si>
  <si>
    <t>Document version</t>
  </si>
  <si>
    <t>0.1</t>
  </si>
  <si>
    <t>Prepared by</t>
  </si>
  <si>
    <t>Claude Code (/acceptance-criteria)</t>
  </si>
  <si>
    <t>Prepared on</t>
  </si>
  <si>
    <t>2026-10-29</t>
  </si>
  <si>
    <t>Approved by (PO)</t>
  </si>
  <si>
    <t>Approved on</t>
  </si>
  <si>
    <t>Format version</t>
  </si>
  <si>
    <t>1.1</t>
  </si>
  <si>
    <t>Sheets</t>
  </si>
  <si>
    <t>Acceptance Criteria</t>
  </si>
  <si>
    <t>One row per feature. 'Acceptance Checks' is a numbered list — each check is one observable, testable outcome. Test cases cite a check by its number.</t>
  </si>
  <si>
    <t>Delivery Standards</t>
  </si>
  <si>
    <t>Acies delivery standards (accessibility, permissions, loading/empty/error states). They apply to every criterion. They are how Acies builds, not scope to negotiate, and are not repeated in each row. Test cases cite them like criteria.</t>
  </si>
  <si>
    <t>Questions</t>
  </si>
  <si>
    <t>Open questions for the PO, with the IDs used in 'Open Questions' and in PROJECT.md. 'Current baseline' is what gets built if a question stays unanswered. Answer in 'Answer · date' and set Status to Answered.</t>
  </si>
  <si>
    <t>Client Inputs</t>
  </si>
  <si>
    <t>Content and decisions the client must supply (links, logos, mappings). A row stays 'Awaiting' until it arrives; tests that depend on it are 'Blocked', not 'Fail'.</t>
  </si>
  <si>
    <t>Test Cases</t>
  </si>
  <si>
    <t>One row per test case. Feature and Power Apps Component are looked up from the AC ID — '⚠ Unknown AC ID' means the ID is wrong. A re-test updates Iteration and Status in place, and the earlier result moves to Comments ('It1: Fail — BUG-014. It2: Pass').</t>
  </si>
  <si>
    <t>Summary</t>
  </si>
  <si>
    <t>Calculated. Do not type into it.</t>
  </si>
  <si>
    <t>References</t>
  </si>
  <si>
    <t>Where the source artefacts live. Never put credentials or passwords here — link to where they are held instead.</t>
  </si>
  <si>
    <t>Rules</t>
  </si>
  <si>
    <t>Working copy</t>
  </si>
  <si>
    <t>This file is the one working copy. Edit it in Excel and keep its sheets, columns and drop-downs; don't regenerate it with another tool or keep a second copy. The delivery team compares versions with 'ac_workbook.py diff'.</t>
  </si>
  <si>
    <t>IDs</t>
  </si>
  <si>
    <t>AC-&lt;PROJECT&gt;-NN: the project code, then one running number for the whole project, from 01 (AC-CON-01, AC-CON-02, …). Test cases are TC-&lt;AREA&gt;-NNN, AREA being a 2–6 letter code for the screen or module (NAV, HOME), and cite the AC ID. IDs are permanent: never renumber, never reuse, never delete a row. A criterion taken out of scope keeps its row with Status 'Out of Scope'.</t>
  </si>
  <si>
    <t>Source</t>
  </si>
  <si>
    <t>Every criterion names where it came from: a BRD row, a transcript timestamp, a design file. 'ASSUMPTION' means nobody said it — it must have an Open Question, and the PO must confirm it before approval. Once the PO decides, the Source says 'PO decision YYYY-MM-DD (Q-nn)' instead.</t>
  </si>
  <si>
    <t>Status</t>
  </si>
  <si>
    <t>Candidate (only the BRD mentions it; not in the baseline unless the PO promotes it) · Draft → In Review → Approved · Changed (altered after approval) · On Hold (agreed for later) · Out of Scope (dropped; the row stays). Only Approved and Changed rows are built. Every change after review adds a line to 'Alterations': YYYY-MM-DD · who · what.</t>
  </si>
  <si>
    <t>Type</t>
  </si>
  <si>
    <t>UI, Functional, Data, Integration, Security, Accessibility, Performance, Content</t>
  </si>
  <si>
    <t>Priority</t>
  </si>
  <si>
    <t>Must, Should, Could, Won't (MoSCoW).</t>
  </si>
  <si>
    <t>Test types</t>
  </si>
  <si>
    <t>Positive, Negative, Edge, Boundary, Stress, Accessibility, UI</t>
  </si>
  <si>
    <t>Test status</t>
  </si>
  <si>
    <t>Not Run, Pass, Fail, Blocked</t>
  </si>
  <si>
    <t>Generated by</t>
  </si>
  <si>
    <t>tools/ac_workbook.py — see docs/standards/acceptance-criteria-standard.md in the project repository.</t>
  </si>
  <si>
    <t>AC ID</t>
  </si>
  <si>
    <t>Screen Section</t>
  </si>
  <si>
    <t>User Role</t>
  </si>
  <si>
    <t>Feature</t>
  </si>
  <si>
    <t>Description</t>
  </si>
  <si>
    <t>Acceptance Checks</t>
  </si>
  <si>
    <t>Power Apps Component</t>
  </si>
  <si>
    <t>Data (Lists &amp; Fields)</t>
  </si>
  <si>
    <t>Client Input Needed</t>
  </si>
  <si>
    <t>Open Questions</t>
  </si>
  <si>
    <t>Alterations (dated)</t>
  </si>
  <si>
    <t>AC-ITH-01</t>
  </si>
  <si>
    <t>Whole solution</t>
  </si>
  <si>
    <t>All Users</t>
  </si>
  <si>
    <t>Solution platform and boundaries</t>
  </si>
  <si>
    <t>The IT helpdesk is one Power Apps canvas app with SharePoint lists for data, Power Automate flows and Outlook emails, built from the accepted prototype. This row fixes what is and is not built.</t>
  </si>
  <si>
    <t>1. The app is a Power Apps canvas app; ticket data is stored in SharePoint lists; emails are sent by Power Automate flows through Office 365 Outlook.
2. Only internal users with Microsoft 365 licences use the app; no external or guest user is supported.
3. One ticket records one issue raised by one requester.
4. Not built: SLA timers, escalation and breach alerts; integration with ITSM tools, Teams or SMS notifications; asset, change and problem management; Power BI dashboards and trend analytics.
5. The priority target times shown on the Settings screen (for example "Target: 4 hours") are text only; nothing calculates, shows or enforces them.</t>
  </si>
  <si>
    <t>ITHelp: App</t>
  </si>
  <si>
    <t>None</t>
  </si>
  <si>
    <t>Functional</t>
  </si>
  <si>
    <t>Must</t>
  </si>
  <si>
    <t>BRD: Helpdesk_BRD 1.0!R2, R19</t>
  </si>
  <si>
    <t>Q-03</t>
  </si>
  <si>
    <t>Draft</t>
  </si>
  <si>
    <t>AC-ITH-02</t>
  </si>
  <si>
    <t>Sidebar navigation</t>
  </si>
  <si>
    <t>Left navigation</t>
  </si>
  <si>
    <t>A persistent left navigation lets users move between the app's main views and shows how many open tickets are theirs.</t>
  </si>
  <si>
    <t>1. The sidebar shows, in this order: "Overview", "All tickets", "My tickets", "Assigned to me", "Knowledge base", "Settings", each with an icon, as in index (4).html.
2. The sidebar is on every screen. Selecting an item opens that view.
3. The current view's item is highlighted (soft accent fill, accent text) and announced to a screen reader as the current page.
4. "My tickets" shows a count of the signed-in user's tickets that are not Resolved or Closed, and "Assigned to me" shows a count of tickets assigned to the signed-in user that are not Resolved or Closed. A count of 0 shows no count.
5. At the top, the sidebar shows a square logo tile with the letter "H" and the text "Helpdesk".
6. At the bottom, the sidebar shows the signed-in user's initials, full name and role (see AC-ITH-05).</t>
  </si>
  <si>
    <t>ITHelp: conSidebar (every screen)</t>
  </si>
  <si>
    <t>ITH_Tickets: RequesterEmail, AssignedToEmail, TicketStatus</t>
  </si>
  <si>
    <t>UI</t>
  </si>
  <si>
    <t>BRD: Helpdesk_BRD 1.0!R3; Design: index (4).html nav(), .logo, .prof</t>
  </si>
  <si>
    <t>Q-12</t>
  </si>
  <si>
    <t>AC-ITH-03</t>
  </si>
  <si>
    <t>Collapsible sidebar</t>
  </si>
  <si>
    <t>Users can fold the sidebar to a narrow icon rail to give the content more room.</t>
  </si>
  <si>
    <t>1. A button with the accessible name "Collapse sidebar" in the header folds the sidebar to a narrow rail that shows icons only; selecting it again restores the full sidebar.
2. In the rail the labels, counts and the "Helpdesk" text are hidden, and each item keeps an accessible name.
3. On a narrow window (under 700 px wide in the prototype) the sidebar starts folded.
4. If Power Apps controls cannot support folding as drawn, the closest working equivalent is built and recorded as a deviation.</t>
  </si>
  <si>
    <t>Could</t>
  </si>
  <si>
    <t>BRD: Helpdesk_BRD 1.0!R3 ("subject to Power Apps control support"); Design: index (4).html #tg, .col aside</t>
  </si>
  <si>
    <t>AC-ITH-04</t>
  </si>
  <si>
    <t>Header</t>
  </si>
  <si>
    <t>Header and page title</t>
  </si>
  <si>
    <t>Every screen has a header with the page title as a breadcrumb and the main header actions.</t>
  </si>
  <si>
    <t>1. From left to right the header shows: the collapse button, the breadcrumb, the search box, a primary "Create ticket" button, the theme toggle, the notification bell and the profile avatar.
2. The breadcrumb reads "Helpdesk / &lt;page title&gt;", where the page title is one of "Overview", "All tickets", "My tickets", "Assigned to me", "Knowledge base" or "Settings"; on an open article it reads "Knowledge base / &lt;article title&gt;".
3. Selecting "Helpdesk" in the breadcrumb opens Overview.
4. The "Create ticket" button opens the create ticket form (AC-ITH-20). On a narrow window it shows its plus icon only and keeps its accessible name.</t>
  </si>
  <si>
    <t>ITHelp: conHeader (every screen)</t>
  </si>
  <si>
    <t>BRD: Helpdesk_BRD 1.0!R3; Design: index (4).html .hd, .crumb, TT</t>
  </si>
  <si>
    <t>AC-ITH-05</t>
  </si>
  <si>
    <t>Header - profile</t>
  </si>
  <si>
    <t>Signed-in user and profile menu</t>
  </si>
  <si>
    <t>The app knows who is signed in from their Microsoft 365 profile and shows it in the sidebar and a profile menu.</t>
  </si>
  <si>
    <t>1. The signed-in user's full name and email come from their Microsoft 365 profile; nobody types them.
2. The avatar shows the user's initials. Selecting it opens a menu with the user's full name, email and a "Settings" item that opens Settings.
3. The sidebar and menu show the user's role as Requester, Technician or Administrator (see AC-ITH-39 to AC-ITH-41).
4. Only one header menu (profile or notifications) is open at a time; selecting elsewhere or choosing another view closes it.</t>
  </si>
  <si>
    <t>ITH_Technicians: Title, Email</t>
  </si>
  <si>
    <t>BRD: Helpdesk_BRD 1.0!R3; Design: index (4).html #dp, .prof, ME</t>
  </si>
  <si>
    <t>IN-01</t>
  </si>
  <si>
    <t>AC-ITH-06</t>
  </si>
  <si>
    <t>Header - search</t>
  </si>
  <si>
    <t>Global ticket search</t>
  </si>
  <si>
    <t>A search box in the header finds tickets by ID or subject from any screen.</t>
  </si>
  <si>
    <t>1. The header search box has the placeholder "Search tickets by ID or subject" and the accessible name "Search tickets".
2. Typing in it opens All tickets (or stays on All tickets, My tickets or Assigned to me) with the list filtered to tickets whose ID or subject contains the text, ignoring case.
3. The list's own search box shows the same text, and the list returns to page 1.
4. The box shows a visible accent border when it has focus.</t>
  </si>
  <si>
    <t>ITH_Tickets: Title</t>
  </si>
  <si>
    <t>BRD: Helpdesk_BRD 1.0!R3; Design: index (4).html #gq, setQ()</t>
  </si>
  <si>
    <t>Q-07</t>
  </si>
  <si>
    <t>AC-ITH-07</t>
  </si>
  <si>
    <t>Header - notifications</t>
  </si>
  <si>
    <t>Notification indicator</t>
  </si>
  <si>
    <t>A bell in the header shows recent ticket activity inside the app. It is not a separate notification centre.</t>
  </si>
  <si>
    <t>1. The bell has the accessible name "Notifications" and a small red dot until the user has opened the menu once in the session.
2. Opening it lists the 5 most recent activity entries across the tickets the user may see, newest first; each shows the entry text and, under it, "&lt;ticket ID&gt; · &lt;relative time&gt;" such as "HD-1004 · 3 h ago".
3. Relative time reads "just now", "&lt;n&gt; min ago", "&lt;n&gt; h ago" or "&lt;n&gt; d ago".
4. Selecting an entry opens that ticket's detail (AC-ITH-24) and closes the menu.
5. The indicator only reads activity recorded in the app; it sends nothing.</t>
  </si>
  <si>
    <t>ITH_TicketActivity: TicketId, ActivityText, Created</t>
  </si>
  <si>
    <t>Should</t>
  </si>
  <si>
    <t>BRD: Helpdesk_BRD 1.0!R3; Design: index (4).html dd('dn'), feed(5), rel()</t>
  </si>
  <si>
    <t>Q-18</t>
  </si>
  <si>
    <t>AC-ITH-08</t>
  </si>
  <si>
    <t>Header - theme</t>
  </si>
  <si>
    <t>Light and dark scheme</t>
  </si>
  <si>
    <t>The prototype offers a light and a dark scheme with a toggle; the BRD lists dark theme as out of scope. Both are drafted so the PO can decide.</t>
  </si>
  <si>
    <t>1. A header button with the accessible name "Toggle dark theme" shows a moon icon in the light scheme and a sun icon in the dark scheme, and switches the whole app between the two.
2. Every screen, dialog and panel is readable in both schemes, with the colours measured from the prototype's light and dark values.
3. Decide: build the dark scheme, or leave it out? Baseline: both schemes are built, the toggle is built, and the choice is held per user.</t>
  </si>
  <si>
    <t>Design: index (4).html #th, toggleTheme(), [data-theme=dark]; BRD: Helpdesk_BRD 1.0!R2 (dark theme out of scope)</t>
  </si>
  <si>
    <t>Q-04</t>
  </si>
  <si>
    <t>AC-ITH-09</t>
  </si>
  <si>
    <t>All screens</t>
  </si>
  <si>
    <t>Look and feel of the accepted design</t>
  </si>
  <si>
    <t>The app looks like the accepted prototype: its colours, type, corner radii, spacing and chrome. With no brand guide, the prototype's colours are the brand.</t>
  </si>
  <si>
    <t>1. Colours match the prototype in each scheme: indigo accent, soft accent fill, card, page, border, text and muted text values as measured (specs/prototype-design.json).
2. Status and priority are shown as pill badges: a small dot and the word, in the colour for that value, on a tint of that colour. The colours match the prototype in both schemes.
3. Cards have a 1 px border, rounded corners and no shadow; only dropdown panels, the dialog and toasts have a shadow.
4. The page background is a flat colour; the sidebar and header are flat bands with a 1 px border.
5. Type sizes follow the prototype's scale (body, page heading, section heading, stat number, table head, small text), scaled to the app.
6. Every text and control boundary meets the contrast in STD-A11Y; where a prototype colour pair does not, the compliant variant is used and recorded as a deviation.</t>
  </si>
  <si>
    <t>Design: index (4).html :root, [data-theme=dark], .b, .card; specs/prototype-design.json</t>
  </si>
  <si>
    <t>Q-02</t>
  </si>
  <si>
    <t>AC-ITH-10</t>
  </si>
  <si>
    <t>Narrow window layout</t>
  </si>
  <si>
    <t>The prototype rearranges itself on narrower windows. The BRD puts mobile-specific layout design out of scope, so only the prototype's own rearrangements are drafted.</t>
  </si>
  <si>
    <t>1. Under the prototype's first breakpoint (900 px) the four stat cards on Overview become two per row and two-card rows stack to one column.
2. Under the prototype's second breakpoint (700 px) the Requester, Category, Assigned to and Created columns and the breadcrumb are hidden, and two-up form rows and detail grids become one column.
3. No separate phone layout is designed.
4. Animations (drawer slide, toast, sidebar width) are switched off when the device asks for reduced motion, where the platform allows.</t>
  </si>
  <si>
    <t>Design: index (4).html @media rules; BRD: Helpdesk_BRD 1.0!R2 (mobile-specific layout out of scope)</t>
  </si>
  <si>
    <t>AC-ITH-11</t>
  </si>
  <si>
    <t>Overview - summary cards</t>
  </si>
  <si>
    <t>Overview summary cards</t>
  </si>
  <si>
    <t>The Overview shows four counts so users see the state of the helpdesk at a glance.</t>
  </si>
  <si>
    <t>1. Four cards in one row show, in this order: "Total tickets", "Open", "In progress", "Resolved today".
2. "Total tickets" counts every ticket the user may see; "Open" counts those with status Open; "In progress" those with status In Progress; "Resolved today" those with status Resolved that were last updated today.
3. A requester's counts cover only the tickets they raised; a technician's and administrator's counts cover all tickets.
4. The counts are calculated in the app from the ticket list; no separate figures are stored.</t>
  </si>
  <si>
    <t>ITHelp: scrOverview</t>
  </si>
  <si>
    <t>ITH_Tickets: TicketStatus, RequesterEmail, Modified</t>
  </si>
  <si>
    <t>BRD: Helpdesk_BRD 1.0!R4; Design: index (4).html overview()</t>
  </si>
  <si>
    <t>Q-06</t>
  </si>
  <si>
    <t>AC-ITH-12</t>
  </si>
  <si>
    <t>Overview - ticket lists</t>
  </si>
  <si>
    <t>Recent tickets and my assigned tickets</t>
  </si>
  <si>
    <t>The Overview lists the newest tickets and the tickets assigned to the signed-in technician, each openable.</t>
  </si>
  <si>
    <t>1. The card "Recent tickets" lists the 6 most recently created tickets, newest first, each row showing ticket ID, subject, priority badge and status badge.
2. The card "My assigned tickets" lists up to 5 tickets assigned to the signed-in user whose status is not Resolved or Closed, each row in the same form.
3. Each card has a small "View all" button: on "Recent tickets" it opens All tickets, on "My assigned tickets" it opens Assigned to me.
4. Selecting a row, or pressing Enter on it, opens the ticket's detail (AC-ITH-24).
5. A card with no tickets shows "Nothing here yet."
6. A requester sees only their own tickets in "Recent tickets"; the card "My assigned tickets" lists nothing for a requester.</t>
  </si>
  <si>
    <t>ITH_Tickets: Title, Category, Priority, TicketStatus, AssignedToEmail, Created</t>
  </si>
  <si>
    <t>BRD: Helpdesk_BRD 1.0!R4; Design: index (4).html overview(), mini()</t>
  </si>
  <si>
    <t>AC-ITH-13</t>
  </si>
  <si>
    <t>Overview - summaries</t>
  </si>
  <si>
    <t>Tickets by status and by priority</t>
  </si>
  <si>
    <t>Two simple summaries show how tickets are spread over status and priority. They are built with app controls, not Power BI.</t>
  </si>
  <si>
    <t>1. "Tickets by status" shows one row each for Open, In Progress, On Hold, Resolved and Closed: the status name, a horizontal bar whose length is that status's share of all tickets, and the count.
2. "Tickets by priority" shows one bar split into Low, Medium, High and Critical in proportion to their counts, with a legend below reading "&lt;Priority&gt; &lt;count&gt;".
3. The bar colours are the status and priority colours of AC-ITH-09.
4. The priority bar has a text alternative giving the same counts, so it is not understood by colour alone.
5. With no tickets the bars are empty and the counts read 0.</t>
  </si>
  <si>
    <t>ITH_Tickets: TicketStatus, Priority</t>
  </si>
  <si>
    <t>BRD: Helpdesk_BRD 1.0!R4; Design: index (4).html overview() .br, .stk</t>
  </si>
  <si>
    <t>AC-ITH-14</t>
  </si>
  <si>
    <t>Overview - activity</t>
  </si>
  <si>
    <t>Recent activity feed</t>
  </si>
  <si>
    <t>The Overview ends with a feed of the latest events on tickets.</t>
  </si>
  <si>
    <t>1. The card "Recent activity" lists the 7 latest activity entries across the tickets the user may see, newest first.
2. Each entry shows a small accent dot, the entry text, and under it "&lt;ticket ID&gt; · &lt;relative time&gt;".
3. With no activity the card shows an empty state saying so.</t>
  </si>
  <si>
    <t>BRD: Helpdesk_BRD 1.0!R4; Design: index (4).html overview() feed(7)</t>
  </si>
  <si>
    <t>AC-ITH-15</t>
  </si>
  <si>
    <t>Ticket list</t>
  </si>
  <si>
    <t>All tickets lists every ticket the user may see in a table.</t>
  </si>
  <si>
    <t>1. The screen has the heading "All tickets" and the line "Every ticket in the helpdesk."
2. The table columns, in order, are "Ticket ID", "Subject", "Requester", "Category", "Priority", "Assigned to", "Status", "Created" and "Actions".
3. Each row shows the ticket ID (accent colour), the subject (cut off with an ellipsis when long), requester name, category, priority badge, the assignee's name or "Unassigned" in muted text, status badge, and the created date as "dd Mon yyyy" (for example 05 Oct 2026).
4. By default tickets are sorted by Created, newest first.
5. Selecting a row, or pressing Enter on it, opens the ticket's detail (AC-ITH-24).
6. A requester sees only their own tickets; technicians and administrators see all tickets.</t>
  </si>
  <si>
    <t>ITHelp: scrTickets</t>
  </si>
  <si>
    <t>ITH_Tickets: Title, RequesterName, RequesterEmail, Category, Priority, AssignedToName, TicketStatus, Created</t>
  </si>
  <si>
    <t>BRD: Helpdesk_BRD 1.0!R5, R20; Design: index (4).html listPage(), renderTable()</t>
  </si>
  <si>
    <t>AC-ITH-16</t>
  </si>
  <si>
    <t>Ticket list - search and filters</t>
  </si>
  <si>
    <t>Search and filters</t>
  </si>
  <si>
    <t>Users narrow the list by text, status, priority and category.</t>
  </si>
  <si>
    <t>1. A search box with the placeholder "Search by ID or subject" keeps tickets whose ID or subject contains the text, ignoring case.
2. Three drop-downs filter by status (first option "All statuses", then Open, In Progress, On Hold, Resolved, Closed), priority ("All priorities", then Low, Medium, High, Critical) and category ("All categories", then Hardware, Software, Network, Access, Other). Their accessible names are "Status", "Priority" and "Category".
3. The search and the three filters combine: a ticket shows only if it passes all of them.
4. Changing the search or any filter returns the list to page 1.
5. The button "Clear filters" empties the search and the three filters (and the header search box) and returns to page 1.
6. The drop-down options come from the SharePoint master data lists (AC-ITH-38), in their sort order.</t>
  </si>
  <si>
    <t>ITH_Tickets: Title, TicketStatus, Priority, Category; ITH_Statuses: Title, SortOrder; ITH_Priorities: Title, SortOrder; ITH_Categories: Title, SortOrder</t>
  </si>
  <si>
    <t>BRD: Helpdesk_BRD 1.0!R5; Design: index (4).html listPage(), clr()</t>
  </si>
  <si>
    <t>AC-ITH-17</t>
  </si>
  <si>
    <t>Ticket list - sort and paging</t>
  </si>
  <si>
    <t>Sorting and paging</t>
  </si>
  <si>
    <t>Users sort by the key columns and choose how many rows to see.</t>
  </si>
  <si>
    <t>1. Selecting a column header (all but "Actions") sorts by it ascending; selecting it again reverses it. The active header shows "▲" or "▼" and reports its sort order to a screen reader.
2. Ticket ID sorts by its number, not as text; Priority sorts Low, Medium, High, Critical and Status sorts Open, In Progress, On Hold, Resolved, Closed (list order), not alphabetically.
3. A footer shows "&lt;first&gt;–&lt;last&gt; of &lt;total&gt;", a "Rows" drop-down with 5, 10 and 25 (10 by default), buttons "Previous page" and "Next page" and "&lt;page&gt; / &lt;pages&gt;".
4. "Previous page" is disabled on page 1 and "Next page" on the last page.
5. Changing the page size returns to page 1.</t>
  </si>
  <si>
    <t>ITH_Tickets: Title, Priority, TicketStatus, Created</t>
  </si>
  <si>
    <t>BRD: Helpdesk_BRD 1.0!R5; Design: index (4).html sortBy(), sv(), .pg</t>
  </si>
  <si>
    <t>AC-ITH-18</t>
  </si>
  <si>
    <t>Ticket list - empty and row actions</t>
  </si>
  <si>
    <t>Empty list and row actions</t>
  </si>
  <si>
    <t>The list says clearly when it has nothing to show, and each row offers quick edit and delete where the user's role allows.</t>
  </si>
  <si>
    <t>1. When filters or search leave no ticket, the list shows an inbox icon, "No tickets match your filters", "Try a different search or clear the filters." and a "Clear filters" button.
2. When there are no tickets and no filter is set, the list shows "No tickets here yet", "Create a ticket to get started." and a primary "Create ticket" button.
3. Each row has two icon buttons with accessible names "Edit &lt;ticket ID&gt;" and "Delete &lt;ticket ID&gt;"; selecting one does not open the detail.
4. "Edit" opens the edit form (AC-ITH-26); "Delete" opens the delete confirmation (AC-ITH-30).
5. The edit button shows only to users who may edit (AC-ITH-26) and the delete button only to Administrators; the SharePoint list permissions are what enforce it (STD-PERM).</t>
  </si>
  <si>
    <t>BRD: Helpdesk_BRD 1.0!R5; Design: index (4).html renderTable()</t>
  </si>
  <si>
    <t>Q-08</t>
  </si>
  <si>
    <t>AC-ITH-19</t>
  </si>
  <si>
    <t>My tickets and Assigned to me</t>
  </si>
  <si>
    <t>Two filtered views of the ticket list show the user's own work.</t>
  </si>
  <si>
    <t>1. "My tickets" has the line "Tickets you submitted as &lt;the signed-in user's full name&gt;." and lists tickets whose requester email is the signed-in user's.
2. "Assigned to me" has the line "Tickets assigned to you." and lists tickets assigned to the signed-in technician, including Resolved and Closed ones.
3. Both views have the same search, filters, sorting, paging, row actions and empty states as All tickets (AC-ITH-16 to AC-ITH-18).
4. The current view is highlighted in the sidebar (AC-ITH-02).
5. Team or group queues are not built; the signed-in user is read from their Microsoft 365 profile.</t>
  </si>
  <si>
    <t>ITH_Tickets: RequesterEmail, AssignedToEmail</t>
  </si>
  <si>
    <t>BRD: Helpdesk_BRD 1.0!R15; Design: index (4).html listPage(), mine(), asg(), DESC</t>
  </si>
  <si>
    <t>Q-13</t>
  </si>
  <si>
    <t>AC-ITH-20</t>
  </si>
  <si>
    <t>Create and edit ticket form</t>
  </si>
  <si>
    <t>Requester, Technician, Administrator</t>
  </si>
  <si>
    <t>Create ticket form</t>
  </si>
  <si>
    <t>Users raise a ticket by filling in one form that opens over the current screen.</t>
  </si>
  <si>
    <t>1. The form opens from "Create ticket" in the header, the list's empty state, the knowledge base article and, for edit, a row's edit button or the detail's "Edit" button. Its title is "Create ticket" or "Edit &lt;ticket ID&gt;".
2. The form asks for: "Ticket subject *" (placeholder "Short summary of the issue"), "Description *" (4 lines, placeholder "What happened, and what did you expect?"), "Category", "Priority", "Requester name", "Requester email", "Assign to (optional)" and, on create only, "Attachments".
3. "Category" offers Hardware, Software, Network, Access, Other and defaults to Software; "Priority" offers Low, Medium, High, Critical and defaults to Medium.
4. "Requester name" and "Requester email" default to the signed-in user. Technicians and administrators may change them to raise a ticket for someone else; requesters cannot.
5. "Assign to (optional)" offers "Unassigned" (the default) and the technicians from the technician list (AC-ITH-31).
6. The buttons are "Cancel" and a primary "Create ticket" (or "Save changes" when editing). "Cancel", the close button (accessible name "Close"), selecting outside the form and pressing Escape close it without saving.
7. On opening, focus is in the subject field.</t>
  </si>
  <si>
    <t>ITHelp: scrNewTicket</t>
  </si>
  <si>
    <t>ITH_Tickets: Title, TicketDescription, Category, Priority, RequesterName, RequesterEmail, AssignedToName, AssignedToEmail</t>
  </si>
  <si>
    <t>BRD: Helpdesk_BRD 1.0!R6; Design: index (4).html openForm(), saveForm()</t>
  </si>
  <si>
    <t>Q-09, Q-21</t>
  </si>
  <si>
    <t>AC-ITH-21</t>
  </si>
  <si>
    <t>Create ticket - result</t>
  </si>
  <si>
    <t>Ticket creation</t>
  </si>
  <si>
    <t>Saving a new ticket gives it an ID and a first status and tells the user it worked.</t>
  </si>
  <si>
    <t>1. A new ticket gets an ID of the form "HD-" followed by a number, for example HD-1001, generated automatically and never shown as editable.
2. No two tickets ever get the same ID, even when two users save at the same moment.
3. The status of a new ticket is "Open"; its created and last-updated times are the time of saving.
4. If no assignee was chosen the ticket is "Unassigned".
5. After saving, the form closes, the current list refreshes and a message reads "&lt;ticket ID&gt; created".
6. The activity timeline gets "&lt;requester name&gt; created the ticket" and, when an assignee was chosen, "&lt;signed-in user&gt; assigned the ticket to &lt;assignee&gt;".
7. If saving fails, the form stays open with what the user typed and says what failed (STD-STATES).</t>
  </si>
  <si>
    <t>ITH_Tickets: Title, TicketStatus, Created, Modified; ITH_TicketActivity: TicketId, ActivityText, Created</t>
  </si>
  <si>
    <t>BRD: Helpdesk_BRD 1.0!R6; Design: index (4).html saveForm()</t>
  </si>
  <si>
    <t>Q-09, Q-10</t>
  </si>
  <si>
    <t>AC-ITH-22</t>
  </si>
  <si>
    <t>Ticket validation</t>
  </si>
  <si>
    <t>The form checks the entries with messages next to the fields, and a ticket with errors is not saved.</t>
  </si>
  <si>
    <t>1. Selecting the primary button with the subject empty (or only spaces) shows "Enter a subject." under the subject field.
2. With the description empty (or only spaces) it shows "Describe the issue." under the description field.
3. With a requester email entered that is not a valid email address, it shows "Enter a valid email address." under that field. An empty email is allowed and falls back to the signed-in user's email.
4. A field with an error has a red border; the messages are announced to a screen reader and not shown by colour alone.
5. While any message shows, nothing is saved and the form stays open; fixing the field and selecting the button again clears its message.
6. A blank requester name falls back to the signed-in user's name.
7. Further rules (length limits, duplicate detection, mandatory fields by category) are not built; they would be a change request.</t>
  </si>
  <si>
    <t>ITH_Tickets: Title, TicketDescription, RequesterEmail</t>
  </si>
  <si>
    <t>BRD: Helpdesk_BRD 1.0!R7; Design: index (4).html saveForm()</t>
  </si>
  <si>
    <t>AC-ITH-23</t>
  </si>
  <si>
    <t>Ticket attachments</t>
  </si>
  <si>
    <t>Users attach files to a ticket when they raise it, and see them on the ticket. The prototype only simulates this.</t>
  </si>
  <si>
    <t>1. The create form has an "Attachments" field that accepts one or more files.
2. The files are stored in SharePoint against the ticket; they are really saved, not only their names.
3. The ticket's detail lists each attachment with its file name and size, for example "screenshot.png 184 KB"; with none it says "No attachments."
4. The help text "Simulated: file names are saved, files are not uploaded." is not shown.
5. A file larger than the allowed size, or of a type not allowed, is refused with a message naming the problem.
6. Not built: virus scanning, in-app preview, and attachments on comments.</t>
  </si>
  <si>
    <t>ITH_Tickets: attachments</t>
  </si>
  <si>
    <t>BRD: Helpdesk_BRD 1.0!R8; Design: index (4).html #f_att, drawer()</t>
  </si>
  <si>
    <t>Q-14</t>
  </si>
  <si>
    <t>AC-ITH-24</t>
  </si>
  <si>
    <t>Ticket detail</t>
  </si>
  <si>
    <t>Ticket detail view</t>
  </si>
  <si>
    <t>Selecting a ticket opens a detail panel with everything about it.</t>
  </si>
  <si>
    <t>1. The detail opens as a panel on the right of the current screen over a dimmed background; selecting outside it, its close button (accessible name "Close panel") or pressing Escape closes it.
2. At the top it shows the ticket ID and the subject as a heading, with the status and priority badges below.
3. A grid shows "Status", "Priority", "Assigned technician", "Category", "Requester" (name and, beneath, email), "Created" and, beneath it, "Last updated" as "dd Mon yyyy, hh:mm".
4. Below the grid are sections "Description" (line breaks kept), "Attachments", "Comments (&lt;count&gt;)" and "Activity".
5. A requester can open only tickets they raised; technicians and administrators can open any ticket.
6. Related tickets and linking tickets together are not built.</t>
  </si>
  <si>
    <t>ITHelp: scrTicket</t>
  </si>
  <si>
    <t>ITH_Tickets: Title, TicketDescription, RequesterName, RequesterEmail, Category, Priority, TicketStatus, AssignedToName, Created, Modified</t>
  </si>
  <si>
    <t>BRD: Helpdesk_BRD 1.0!R9; Design: index (4).html drawer(), openT(), closeT()</t>
  </si>
  <si>
    <t>AC-ITH-25</t>
  </si>
  <si>
    <t>Ticket detail - changes</t>
  </si>
  <si>
    <t>Technician, Administrator</t>
  </si>
  <si>
    <t>Update status, priority and assignment</t>
  </si>
  <si>
    <t>Technicians change a ticket's status, priority and assignee straight from its detail.</t>
  </si>
  <si>
    <t>1. The detail's "Status" drop-down offers Open, In Progress, On Hold, Resolved, Closed; "Priority" offers Low, Medium, High, Critical; "Assigned technician" offers "Unassigned" and the technicians.
2. Choosing a different value saves at once; choosing the value already set does nothing.
3. Each change updates the ticket's "Last updated" time and adds an activity entry "&lt;signed-in user&gt; changed status to &lt;value&gt;", "changed priority to &lt;value&gt;" or "changed assignee to &lt;value or Unassigned&gt;".
4. A status change shows the message "&lt;ticket ID&gt; marked &lt;status&gt;"; any other change shows "Ticket updated".
5. Any status can be changed to any other, including reopening a Closed ticket; no transition is blocked.
6. Requesters see these values but cannot change them.</t>
  </si>
  <si>
    <t>ITH_Tickets: TicketStatus, Priority, AssignedToName, AssignedToEmail, Modified; ITH_TicketActivity: TicketId, ActivityText</t>
  </si>
  <si>
    <t>BRD: Helpdesk_BRD 1.0!R10; Design: index (4).html setF()</t>
  </si>
  <si>
    <t>AC-ITH-26</t>
  </si>
  <si>
    <t>Ticket detail - edit</t>
  </si>
  <si>
    <t>Edit ticket details</t>
  </si>
  <si>
    <t>Authorised users change a ticket's details after it has been created.</t>
  </si>
  <si>
    <t>1. The detail's "Edit" button, and a row's edit button, open the form of AC-ITH-20 filled with the ticket's current values and titled "Edit &lt;ticket ID&gt;".
2. Saving changes the subject, description, category, priority, requester name and email, and assignee, with the same checks as AC-ITH-22; the form has no "Attachments" field.
3. After saving, the activity timeline gets "&lt;signed-in user&gt; edited ticket details", "Last updated" changes, and the message "&lt;ticket ID&gt; updated" shows.
4. Only that the ticket was edited is recorded; the old and new values are not kept.
5. Who may edit: technicians and administrators.</t>
  </si>
  <si>
    <t>ITH_Tickets: Title, TicketDescription, Category, Priority, RequesterName, RequesterEmail, AssignedToName, AssignedToEmail, Modified; ITH_TicketActivity: TicketId, ActivityText</t>
  </si>
  <si>
    <t>BRD: Helpdesk_BRD 1.0!R11; Design: index (4).html openForm(id), saveForm()</t>
  </si>
  <si>
    <t>AC-ITH-27</t>
  </si>
  <si>
    <t>Ticket detail - comments</t>
  </si>
  <si>
    <t>Comments</t>
  </si>
  <si>
    <t>People on a ticket add plain-text comments to talk about it.</t>
  </si>
  <si>
    <t>1. The "Comments (&lt;count&gt;)" section lists comments oldest first, each with the author's name in bold, the date and time, and the text with its line breaks kept; with none it says "No comments yet."
2. Below the comments, a multi-line box with the placeholder "Write a comment" (accessible name "Comment") and a primary "Add comment" button.
3. Selecting "Add comment" with the box empty (or only spaces) shows the error message "Write a comment before adding it." and adds nothing.
4. Otherwise the comment is saved with the signed-in user as author, the box is cleared, the message "Comment added" shows, the count goes up by one and the activity timeline gets "&lt;signed-in user&gt; added a comment".
5. Comments are plain text; mentions, rich text, files in comments and internal-only notes are not built.</t>
  </si>
  <si>
    <t>ITH_TicketComments: TicketId, AuthorName, AuthorEmail, CommentText, Created; ITH_TicketActivity: TicketId, ActivityText</t>
  </si>
  <si>
    <t>BRD: Helpdesk_BRD 1.0!R12; Design: index (4).html addC()</t>
  </si>
  <si>
    <t>Q-13, Q-21</t>
  </si>
  <si>
    <t>AC-ITH-28</t>
  </si>
  <si>
    <t>Ticket detail - activity</t>
  </si>
  <si>
    <t>Activity timeline</t>
  </si>
  <si>
    <t>Every significant event on a ticket is recorded and shown as a timeline.</t>
  </si>
  <si>
    <t>1. The "Activity" section shows a vertical timeline, newest first, each entry with its text and, beneath, the date and time.
2. An entry is recorded for: ticket creation, assignment, status change, priority change, assignee change, edit and new comment, with the wording of AC-ITH-21, AC-ITH-25, AC-ITH-26 and AC-ITH-27.
3. Resolving and closing a ticket (AC-ITH-29) are recorded as status changes.
4. Entries cannot be edited or deleted by users, and they are removed only when their ticket is deleted (AC-ITH-30).</t>
  </si>
  <si>
    <t>ITH_TicketActivity: TicketId, ActivityText, ActorName, Created</t>
  </si>
  <si>
    <t>BRD: Helpdesk_BRD 1.0!R12; Design: index (4).html drawer() .tl, log()</t>
  </si>
  <si>
    <t>Q-11</t>
  </si>
  <si>
    <t>AC-ITH-29</t>
  </si>
  <si>
    <t>Ticket detail - resolve and close</t>
  </si>
  <si>
    <t>Resolve and close a ticket</t>
  </si>
  <si>
    <t>Technicians resolve a ticket when a fix is in place, and close it once confirmed.</t>
  </si>
  <si>
    <t>1. "Resolve" shows on a ticket whose status is Open, In Progress or On Hold; selecting it sets the status to Resolved at once, with the message "&lt;ticket ID&gt; marked Resolved".
2. "Close ticket" shows on any ticket that is not Closed; selecting it opens a confirmation titled "Close &lt;ticket ID&gt;?" with "Closed tickets are treated as complete. You can reopen it by changing the status." and the buttons "Cancel" and "Close ticket".
3. Confirming sets the status to Closed with the message "&lt;ticket ID&gt; marked Closed"; "Cancel" changes nothing.
4. A Closed ticket is reopened by changing its status (AC-ITH-25).
5. Resolved and Closed events are recorded in the activity timeline.
6. Not built: automatic closing of Resolved tickets after a number of days, and satisfaction surveys.</t>
  </si>
  <si>
    <t>ITH_Tickets: TicketStatus, Modified; ITH_TicketActivity: TicketId, ActivityText</t>
  </si>
  <si>
    <t>BRD: Helpdesk_BRD 1.0!R13; Design: index (4).html closeTk(), setF()</t>
  </si>
  <si>
    <t>Q-13, Q-20</t>
  </si>
  <si>
    <t>AC-ITH-30</t>
  </si>
  <si>
    <t>Ticket detail - delete</t>
  </si>
  <si>
    <t>Administrator</t>
  </si>
  <si>
    <t>Delete a ticket</t>
  </si>
  <si>
    <t>Administrators remove a ticket permanently after a confirmation.</t>
  </si>
  <si>
    <t>1. A red "Delete" button on the detail, and the delete icon on a list row, show only to Administrators.
2. Selecting it opens a confirmation titled "Delete &lt;ticket ID&gt;?" with "This permanently removes the ticket, its comments, and its activity." and the buttons "Cancel" and "Delete ticket".
3. Confirming removes the ticket with its comments, activity and attachments, closes the detail if it is open, refreshes the list and shows "&lt;ticket ID&gt; deleted"; "Cancel" changes nothing.
4. Deleting is permanent: there is no recycle bin or restore in the app.
5. A user who is not an Administrator cannot delete a ticket even by other means; SharePoint list permissions refuse it (STD-PERM).</t>
  </si>
  <si>
    <t>ITH_Tickets: Title; ITH_TicketComments: TicketId; ITH_TicketActivity: TicketId</t>
  </si>
  <si>
    <t>BRD: Helpdesk_BRD 1.0!R14, R20; Design: index (4).html delT()</t>
  </si>
  <si>
    <t>AC-ITH-31</t>
  </si>
  <si>
    <t>Assignment</t>
  </si>
  <si>
    <t>Ticket assignment</t>
  </si>
  <si>
    <t>Tickets start unassigned unless an assignee is chosen, and technicians or administrators assign and reassign them from a configured list.</t>
  </si>
  <si>
    <t>1. A new ticket is "Unassigned" unless an assignee is chosen on the form.
2. The assignee drop-downs (form and detail) offer "Unassigned" and the technicians listed in the technician list, in that list's sort order.
3. A technician or administrator can assign or reassign a ticket at any time, also back to "Unassigned".
4. The technician list is kept by the client in SharePoint; no admin screen, import or sync is built.
5. Not built: automatic assignment (round robin, by category or by workload), technician availability and leave.</t>
  </si>
  <si>
    <t>ITH_Technicians: Title, Email, SortOrder; ITH_Tickets: AssignedToName, AssignedToEmail</t>
  </si>
  <si>
    <t>BRD: Helpdesk_BRD 1.0!R16, R19; Design: index (4).html TECHS, #f_assignedTo</t>
  </si>
  <si>
    <t>IN-03</t>
  </si>
  <si>
    <t>Q-13, Q-16</t>
  </si>
  <si>
    <t>AC-ITH-32</t>
  </si>
  <si>
    <t>Background - email to requester</t>
  </si>
  <si>
    <t>Requester</t>
  </si>
  <si>
    <t>Ticket created confirmation email</t>
  </si>
  <si>
    <t>The requester gets an Outlook email confirming their ticket. The prototype shows no emails; this comes from the BRD.</t>
  </si>
  <si>
    <t>1. When a ticket is created, an email goes to the requester's email address.
2. The email states the ticket ID and subject and carries a link to the ticket.
3. The email is sent from a shared mailbox or the flow owner's mailbox, as decided in Q-15.
4. The sending mailbox and any switch for this email are settings (environment variables), not text inside the flow.</t>
  </si>
  <si>
    <t>Flow: Notify requester - ticket created</t>
  </si>
  <si>
    <t>ITH_Tickets: Title, RequesterEmail</t>
  </si>
  <si>
    <t>Integration</t>
  </si>
  <si>
    <t>BRD: Helpdesk_BRD 1.0!R17</t>
  </si>
  <si>
    <t>IN-04</t>
  </si>
  <si>
    <t>Q-15</t>
  </si>
  <si>
    <t>AC-ITH-33</t>
  </si>
  <si>
    <t>Background - email to technician</t>
  </si>
  <si>
    <t>Technician</t>
  </si>
  <si>
    <t>Ticket assigned email</t>
  </si>
  <si>
    <t>A technician gets an Outlook email when a ticket is assigned to them.</t>
  </si>
  <si>
    <t>1. When a ticket is created with an assignee, or an existing ticket is assigned or reassigned, an email goes to the new assignee.
2. The email states the ticket ID and subject and carries a link to the ticket.
3. No email goes when a ticket is set to "Unassigned".
4. The sending mailbox is the one of AC-ITH-32.</t>
  </si>
  <si>
    <t>Flow: Notify technician - ticket assigned</t>
  </si>
  <si>
    <t>ITH_Tickets: Title, AssignedToEmail</t>
  </si>
  <si>
    <t>Q-15, Q-19</t>
  </si>
  <si>
    <t>AC-ITH-34</t>
  </si>
  <si>
    <t>Ticket update emails</t>
  </si>
  <si>
    <t>The requester gets an Outlook email when their ticket's status changes, it is resolved, or a comment is added.</t>
  </si>
  <si>
    <t>1. When the status of a ticket changes, an email goes to the requester stating the ticket ID, subject, the new status and a link to the ticket.
2. When a ticket is set to Resolved, the email says it is resolved.
3. When a comment is added, an email goes to the requester stating the ticket ID, subject, who commented and a link to the ticket.
4. No email goes to the person who made the change themselves.
5. Changes to priority, assignee or details send no email to the requester.</t>
  </si>
  <si>
    <t>Flow: Notify requester - ticket updated</t>
  </si>
  <si>
    <t>ITH_Tickets: Title, RequesterEmail, TicketStatus; ITH_TicketComments: TicketId, AuthorName, CommentText</t>
  </si>
  <si>
    <t>AC-ITH-35</t>
  </si>
  <si>
    <t>Knowledge base</t>
  </si>
  <si>
    <t>Knowledge base list and search</t>
  </si>
  <si>
    <t>A searchable list of self-service articles, grouped by category, helps users solve common issues before raising a ticket.</t>
  </si>
  <si>
    <t>1. The screen has the heading "Knowledge base" and the line "Self-service guides for common issues."
2. Each article is a card showing its category (muted), its title and a short description, in a grid.
3. A search box with the placeholder "Search articles" keeps articles whose title or description contains the text, ignoring case.
4. Category chips "All" plus one for each category in use filter the list; the chosen chip has the soft accent fill. Search and chip combine.
5. With no match the grid shows "No articles match "&lt;text&gt;"."
6. The articles are static content kept up to date by administrators in SharePoint; no article editor, versioning, approval, ratings or attachments are built.
7. The articles in the prototype (6, in categories Account, Network, Email and Software) are used as sample content until the client supplies the real ones.</t>
  </si>
  <si>
    <t>ITHelp: scrKnowledge</t>
  </si>
  <si>
    <t>ITH_Articles: Title, ArticleCategory, Summary, Steps, SortOrder</t>
  </si>
  <si>
    <t>BRD: Helpdesk_BRD 1.0!R18; Design: index (4).html kbPage(), kbList(), KB</t>
  </si>
  <si>
    <t>IN-02</t>
  </si>
  <si>
    <t>Q-16</t>
  </si>
  <si>
    <t>AC-ITH-36</t>
  </si>
  <si>
    <t>Knowledge base - article</t>
  </si>
  <si>
    <t>Read an article and raise a ticket</t>
  </si>
  <si>
    <t>Users open an article to read its steps and can raise a ticket from it if still stuck.</t>
  </si>
  <si>
    <t>1. Selecting an article card opens the article in the same screen: a "Back to articles" button, the title as a heading, a muted line "&lt;category&gt; · &lt;description&gt;", and a card with the numbered steps.
2. "Back to articles" returns to the list with the search and chip unchanged.
3. A closing card reads "Still stuck?" and has a primary "Create ticket" button that opens the create form with the subject already set to the article's title.
4. The breadcrumb reads "Knowledge base / &lt;article title&gt;" while an article is open.</t>
  </si>
  <si>
    <t>ITH_Articles: Title, ArticleCategory, Summary, Steps</t>
  </si>
  <si>
    <t>BRD: Helpdesk_BRD 1.0!R18; Design: index (4).html kbPage() KO, openForm(null,title)</t>
  </si>
  <si>
    <t>AC-ITH-37</t>
  </si>
  <si>
    <t>Settings</t>
  </si>
  <si>
    <t>Settings reference screen</t>
  </si>
  <si>
    <t>A read-only screen shows reference information: the current user, the categories and the priority and status definitions.</t>
  </si>
  <si>
    <t>1. The screen has the heading "Settings" and a muted line saying it holds reference information.
2. A card "Current user" shows the avatar, the signed-in user's full name and email, and "Role: &lt;role&gt;".
3. A card "Ticket categories" shows each category as a chip, from the category list.
4. A card "Priority definitions" shows each priority badge with its definition, for example "Blocks a person or small team. Target: 4 hours."; a card "Status definitions" does the same for each status.
5. Nothing on the screen can be edited; user administration is not built.
6. The prototype's "Simulated behaviour" card is not shown (see AC-ITH-44).</t>
  </si>
  <si>
    <t>ITHelp: scrSettings</t>
  </si>
  <si>
    <t>ITH_Categories: Title, SortOrder; ITH_Priorities: Title, PriorityDefinition, SortOrder; ITH_Statuses: Title, StatusDefinition, SortOrder</t>
  </si>
  <si>
    <t>BRD: Helpdesk_BRD 1.0!R19; Design: index (4).html settings(), PD, SD</t>
  </si>
  <si>
    <t>Q-05, Q-16</t>
  </si>
  <si>
    <t>AC-ITH-38</t>
  </si>
  <si>
    <t>Master data</t>
  </si>
  <si>
    <t>Categories, priorities, statuses and technicians in lists</t>
  </si>
  <si>
    <t>Ticket categories, priority levels, status values and the technician list are kept in SharePoint lists so administrators can change them without changing the app.</t>
  </si>
  <si>
    <t>1. The values in the category, priority, status and technician drop-downs, the filters, the badges and the Settings screen are read from four SharePoint lists, not typed into the app.
2. Starting values are the prototype's: categories Hardware, Software, Network, Access, Other; priorities Low, Medium, High, Critical with their definitions; statuses Open, In Progress, On Hold, Resolved, Closed with their definitions; four technicians (to be replaced with the client's).
3. Administrators add, rename, reorder or retire a value by editing the SharePoint list; the app shows the change without being republished.
4. The client keeps these lists up to date by hand; no admin screen, import or sync is built.
5. Status values and the "Resolved" and "Closed" meaning used by the counts and buttons are fixed by the app; a renamed status needs the app's rules checked first.</t>
  </si>
  <si>
    <t>ITH_Categories: Title, SortOrder; ITH_Priorities: Title, PriorityDefinition, SortOrder; ITH_Statuses: Title, StatusDefinition, SortOrder, IsFinal; ITH_Technicians: Title, Email, SortOrder</t>
  </si>
  <si>
    <t>Data</t>
  </si>
  <si>
    <t>BRD: Helpdesk_BRD 1.0!R19; Design: index (4).html CATS, PRIS, STS, TECHS</t>
  </si>
  <si>
    <t>AC-ITH-39</t>
  </si>
  <si>
    <t>Access control - Requester</t>
  </si>
  <si>
    <t>Requester access</t>
  </si>
  <si>
    <t>Requesters raise and follow their own tickets and read the knowledge base.</t>
  </si>
  <si>
    <t>1. A requester can create tickets, and can open and comment on only the tickets they raised.
2. A requester sees only their own tickets in every list, count, summary, search and the notification menu.
3. A requester can read the knowledge base and Settings.
4. A requester cannot change status or assignment, cannot edit, resolve, close or delete a ticket, and cannot export tickets; those controls are not shown.
5. What a requester can read or change is decided by SharePoint list permissions, not by hiding buttons (STD-PERM).</t>
  </si>
  <si>
    <t>ITH_Tickets: RequesterEmail</t>
  </si>
  <si>
    <t>Security</t>
  </si>
  <si>
    <t>BRD: Helpdesk_BRD 1.0!R4, R9, R10, R20</t>
  </si>
  <si>
    <t>Q-03, Q-06, Q-20</t>
  </si>
  <si>
    <t>AC-ITH-40</t>
  </si>
  <si>
    <t>Access control - Technician</t>
  </si>
  <si>
    <t>Technician access</t>
  </si>
  <si>
    <t>Technicians work the ticket queue.</t>
  </si>
  <si>
    <t>1. A technician can view all tickets, update status, priority and assignment, edit ticket details, resolve and close tickets, and comment.
2. A technician cannot delete a ticket or change the master data lists.
3. A technician can use the CSV export (AC-ITH-42).
4. These permissions come from SharePoint list permissions for the technician group (STD-PERM).</t>
  </si>
  <si>
    <t>ITH_Tickets: TicketStatus, Priority, AssignedToEmail</t>
  </si>
  <si>
    <t>BRD: Helpdesk_BRD 1.0!R20</t>
  </si>
  <si>
    <t>AC-ITH-41</t>
  </si>
  <si>
    <t>Access control - Administrator</t>
  </si>
  <si>
    <t>Administrator access</t>
  </si>
  <si>
    <t>Administrators can do everything technicians can, and also delete tickets and maintain master data.</t>
  </si>
  <si>
    <t>1. An administrator has all technician abilities (AC-ITH-40).
2. An administrator can delete tickets (AC-ITH-30).
3. An administrator maintains the master data lists (AC-ITH-38) and the knowledge base articles (AC-ITH-35) in SharePoint.
4. Who the administrators are is decided by membership of a group the client keeps; no user administration screen is built.</t>
  </si>
  <si>
    <t>ITH_Tickets: Title; ITH_Categories: Title; ITH_Priorities: Title; ITH_Statuses: Title; ITH_Technicians: Title; ITH_Articles: Title</t>
  </si>
  <si>
    <t>BRD: Helpdesk_BRD 1.0!R14, R20</t>
  </si>
  <si>
    <t>AC-ITH-42</t>
  </si>
  <si>
    <t>Reporting</t>
  </si>
  <si>
    <t>CSV export of tickets</t>
  </si>
  <si>
    <t>Authorised users download ticket data as a CSV file for basic reporting. The prototype does not show this; it comes from the BRD.</t>
  </si>
  <si>
    <t>1. An export action, visible only to technicians and administrators, produces a CSV file with one row per ticket and the columns Ticket ID, Subject, Requester, Category, Priority, Status, Assigned To, Created Date and Last Updated.
2. The file is generated from the SharePoint ticket data at the time of the request.
3. Where to put the action, and whether the export respects the filters on screen, is decided in Q-17; baseline: an "Export CSV" button on All tickets that exports the tickets currently filtered.
4. Not built: advanced analytics, Power BI dashboards, scheduled reports, SLA or trend analysis.</t>
  </si>
  <si>
    <t>ITH_Tickets: Title, RequesterName, Category, Priority, TicketStatus, AssignedToName, Created, Modified</t>
  </si>
  <si>
    <t>BRD: Helpdesk_BRD 1.0!R21</t>
  </si>
  <si>
    <t>Q-17</t>
  </si>
  <si>
    <t>AC-ITH-43</t>
  </si>
  <si>
    <t>Dialogs, panels and messages</t>
  </si>
  <si>
    <t>The way confirmation dialogs, side panels and short messages behave is the same everywhere in the app.</t>
  </si>
  <si>
    <t>1. A confirmation dialog is centred over a dimmed background with a title, a sentence and two buttons, the left one "Cancel"; selecting outside it, "Cancel" or pressing Escape closes it without doing anything.
2. When a dialog is open over a side panel, Escape closes the dialog first and the panel on the next press.
3. Short messages appear at the bottom right, stack when several are shown, and go away by themselves after a few seconds; error messages are red.
4. Messages are announced politely to a screen reader.
5. After any change, the screen behind the dialog or panel shows the new data.</t>
  </si>
  <si>
    <t>Design: index (4).html confirmDlg(), toast(), keydown handler, #ts</t>
  </si>
  <si>
    <t>AC-ITH-44</t>
  </si>
  <si>
    <t>Demo features of the prototype</t>
  </si>
  <si>
    <t>Prototype-only demo features</t>
  </si>
  <si>
    <t>The prototype contains behaviour that only exists because it is a demo. It is listed so it is not built by accident.</t>
  </si>
  <si>
    <t>1. Not built: the "Reset demo data" action in the profile menu and on Settings, and its confirmation "Reset demo data?".
2. Not built: the Settings card "Simulated behaviour", and the loading screen "Loading tickets…" kept for 300 milliseconds as a delay.
3. Not built: the prototype's sample tickets stored in the browser, and its messages "Saved data could not be read. Sample data restored." and "Could not save changes in this browser."
4. When the app loads from SharePoint, it shows a loading indicator in the content area while the data is fetched (STD-STATES).
5. Decide: keep any of these? Baseline: none are built.</t>
  </si>
  <si>
    <t>Won't</t>
  </si>
  <si>
    <t>Design: index (4).html resetData(), settings(), load(), save()</t>
  </si>
  <si>
    <t>Q-05</t>
  </si>
  <si>
    <t>Standard ID</t>
  </si>
  <si>
    <t>Standard</t>
  </si>
  <si>
    <t>Applies to</t>
  </si>
  <si>
    <t>Checks</t>
  </si>
  <si>
    <t>Basis</t>
  </si>
  <si>
    <t>STD-A11Y</t>
  </si>
  <si>
    <t>Accessibility (WCAG 2.1 AA)</t>
  </si>
  <si>
    <t>All</t>
  </si>
  <si>
    <t>1. Every interactive control is reachable and operable by keyboard alone, in reading order, with a visible focus indicator.
2. Every interactive control has an accessible name: its text, or AccessibleLabel where the control has one (icons, inputs, galleries).
3. Text meets 4.5:1 contrast (3:1 for large text and control boundaries) against its background, in both colour schemes.
4. Each screen's title is a heading (Role: Heading1); images have meaningful alternative text or are marked decorative.
5. Errors and confirmations are announced to screen readers, never shown by colour alone.</t>
  </si>
  <si>
    <t>Acies default D9. Not negotiable scope: the PO signs the criteria, not this.</t>
  </si>
  <si>
    <t>STD-STATES</t>
  </si>
  <si>
    <t>Loading, empty, error and no-permission states</t>
  </si>
  <si>
    <t>Every screen that shows list data</t>
  </si>
  <si>
    <t>1. While data loads, the screen shows a loading indicator in the area that will hold it.
2. With no data, the screen says what is missing and offers the next step if there is one.
3. If loading or saving fails, the user sees what failed in plain words and can try again; nothing fails silently.
4. If the user has no access to the data, the screen says so plainly.</t>
  </si>
  <si>
    <t>Acies design standard §5.</t>
  </si>
  <si>
    <t>STD-PERM</t>
  </si>
  <si>
    <t>Permissions by list permissions</t>
  </si>
  <si>
    <t>Every list</t>
  </si>
  <si>
    <t>1. What a user can read or change is decided by the SharePoint list's permissions, not by which buttons the app shows.
2. A user without edit rights who reaches a save action gets a refusal from SharePoint, which the app reports as "You don't have access".
3. The groups for Requesters, Technicians and Administrators are set up by the client (IN-01); the app never grants rights itself.</t>
  </si>
  <si>
    <t>Acies default D6.</t>
  </si>
  <si>
    <t>Q ID</t>
  </si>
  <si>
    <t>AC IDs</t>
  </si>
  <si>
    <t>Area</t>
  </si>
  <si>
    <t>Question</t>
  </si>
  <si>
    <t>Why it matters</t>
  </si>
  <si>
    <t>Current baseline (built if unanswered)</t>
  </si>
  <si>
    <t>Owner</t>
  </si>
  <si>
    <t>Answer · date</t>
  </si>
  <si>
    <t>Q-01</t>
  </si>
  <si>
    <t>Design</t>
  </si>
  <si>
    <t>Which version of index (4).html did the client accept, and on what date?</t>
  </si>
  <si>
    <t>Every "as shown in the design" check depends on it.</t>
  </si>
  <si>
    <t>The file inputs/design/index (4).html as it is.</t>
  </si>
  <si>
    <t>Client PO</t>
  </si>
  <si>
    <t>Open</t>
  </si>
  <si>
    <t>File confirmed as the accepted design by the Acies delivery lead, 2026-10-29; the acceptance date is still to be confirmed.</t>
  </si>
  <si>
    <t>Look and feel</t>
  </si>
  <si>
    <t>No brand guide: may the prototype's colours (indigo accent, light and dark) and Inter font stand as the brand? Inter is not a Studio font.</t>
  </si>
  <si>
    <t>Colours and type become the app's design tokens.</t>
  </si>
  <si>
    <t>Prototype colours as the brand; Segoe UI in place of Inter.</t>
  </si>
  <si>
    <t>AC-ITH-01, AC-ITH-05, AC-ITH-39, AC-ITH-40, AC-ITH-41</t>
  </si>
  <si>
    <t>Access</t>
  </si>
  <si>
    <t>Which security groups are the Requesters, Technicians and Administrators?</t>
  </si>
  <si>
    <t>Roles are built on list permissions for these groups; the prototype has one fixed technician.</t>
  </si>
  <si>
    <t>Three groups, named by the client later; the app reads the role from the user's list permissions.</t>
  </si>
  <si>
    <t>Client admin</t>
  </si>
  <si>
    <t>AC-ITH-08, AC-ITH-10</t>
  </si>
  <si>
    <t>The BRD puts "mobile-specific layout design and dark theme" out of scope, but the prototype has a dark theme toggle and responsive breakpoints. Build them?</t>
  </si>
  <si>
    <t>A second scheme doubles the colour tokens and the visual checks.</t>
  </si>
  <si>
    <t>Both schemes and the prototype's own breakpoints are built; no phone layout is designed.</t>
  </si>
  <si>
    <t>AC-ITH-37, AC-ITH-44</t>
  </si>
  <si>
    <t>Prototype-only items: "Reset demo data" and the Settings card "Simulated behaviour". Needed?</t>
  </si>
  <si>
    <t>They would delete or fake data in a live system.</t>
  </si>
  <si>
    <t>Not built.</t>
  </si>
  <si>
    <t>AC-ITH-11, AC-ITH-12, AC-ITH-39</t>
  </si>
  <si>
    <t>Overview</t>
  </si>
  <si>
    <t>Should requesters see helpdesk-wide counts or only counts for their own tickets?</t>
  </si>
  <si>
    <t>Decides whether requesters may read other people's tickets for counting.</t>
  </si>
  <si>
    <t>Only their own tickets.</t>
  </si>
  <si>
    <t>AC-ITH-06, AC-ITH-15, AC-ITH-16, AC-ITH-17</t>
  </si>
  <si>
    <t>What ticket volume per month is expected?</t>
  </si>
  <si>
    <t>Sets the delegation and indexing approach for search, filter and sort.</t>
  </si>
  <si>
    <t>Under 2,000 tickets in total.</t>
  </si>
  <si>
    <t>AC-ITH-18, AC-ITH-26</t>
  </si>
  <si>
    <t>Ticket</t>
  </si>
  <si>
    <t>Who may edit a ticket after it is created: technicians only, or the requester too?</t>
  </si>
  <si>
    <t>Decides list permissions and whether the requester sees an Edit button.</t>
  </si>
  <si>
    <t>Technicians and administrators only.</t>
  </si>
  <si>
    <t>Q-09</t>
  </si>
  <si>
    <t>AC-ITH-20, AC-ITH-21</t>
  </si>
  <si>
    <t>Confirm the ticket ID format "HD-" plus a number, and whether requesters may set the priority.</t>
  </si>
  <si>
    <t>The ID is shown to everyone and used in emails; priority drives the technicians' queue.</t>
  </si>
  <si>
    <t>Format as in the prototype; requesters may choose the priority.</t>
  </si>
  <si>
    <t>Q-10</t>
  </si>
  <si>
    <t>The prototype makes the ID "highest number plus one", which can clash when two people save together. May the ID be the SharePoint item ID with the "HD-" prefix?</t>
  </si>
  <si>
    <t>A repeated ID is a defect; item IDs never repeat but start at 1 and have gaps after deletes.</t>
  </si>
  <si>
    <t>ID = "HD-" and the SharePoint item ID (so the first ticket is HD-1, not HD-1001).</t>
  </si>
  <si>
    <t>Acies delivery lead</t>
  </si>
  <si>
    <t>AC-ITH-28, AC-ITH-30</t>
  </si>
  <si>
    <t>Should tickets be deleted permanently, or only closed and kept for audit?</t>
  </si>
  <si>
    <t>Permanent delete removes the record of what was done.</t>
  </si>
  <si>
    <t>Permanent delete by Administrators only, as the prototype's confirmation says.</t>
  </si>
  <si>
    <t>Navigation</t>
  </si>
  <si>
    <t>The BRD asks whether the optional "Approvals" menu shown in earlier material should be included. The prototype has none.</t>
  </si>
  <si>
    <t>Approvals would add a screen, a list and a flow.</t>
  </si>
  <si>
    <t>AC-ITH-19, AC-ITH-22, AC-ITH-24, AC-ITH-25, AC-ITH-27, AC-ITH-29, AC-ITH-31</t>
  </si>
  <si>
    <t>Ticket rules</t>
  </si>
  <si>
    <t>BRD queries still open: restrict status transitions; private technician notes and internal comments; auto-close Resolved tickets after n days; shared team queues; auto-assignment by category; any additional mandatory fields.</t>
  </si>
  <si>
    <t>Each adds rules, fields or flows.</t>
  </si>
  <si>
    <t>None of them are built; any status can be set to any other.</t>
  </si>
  <si>
    <t>Attachments</t>
  </si>
  <si>
    <t>What is the maximum attachment size and which file types are allowed?</t>
  </si>
  <si>
    <t>Sets the refusal message and any size check in the form.</t>
  </si>
  <si>
    <t>Up to 10 MB per file; any type SharePoint accepts.</t>
  </si>
  <si>
    <t>AC-ITH-32, AC-ITH-33, AC-ITH-34</t>
  </si>
  <si>
    <t>Notifications</t>
  </si>
  <si>
    <t>Which events send Outlook emails, and from which mailbox?</t>
  </si>
  <si>
    <t>Decides the flows and which connection they run on.</t>
  </si>
  <si>
    <t>The three emails of AC-ITH-32 to AC-ITH-34, from a shared mailbox the client names.</t>
  </si>
  <si>
    <t>AC-ITH-31, AC-ITH-35, AC-ITH-37, AC-ITH-38</t>
  </si>
  <si>
    <t>Please share the initial knowledge base articles and who maintains them, and the final categories, priority definitions and technician list.</t>
  </si>
  <si>
    <t>They are the starting content of the lists.</t>
  </si>
  <si>
    <t>The prototype's 6 articles, 5 categories, 4 priorities, 5 statuses and 4 technicians as sample content.</t>
  </si>
  <si>
    <t>CSV export is not in the prototype: which fields and which roles, and should it follow the filters on screen?</t>
  </si>
  <si>
    <t>Decides where the action sits and what data it reads.</t>
  </si>
  <si>
    <t>The nine fields the BRD lists, for technicians and administrators, exporting the filtered list.</t>
  </si>
  <si>
    <t>AC-ITH-07, AC-ITH-14</t>
  </si>
  <si>
    <t>Should the bell and the Recent activity feed show activity from all tickets, or only from tickets the user can see?</t>
  </si>
  <si>
    <t>Showing other people's ticket activity to requesters leaks information.</t>
  </si>
  <si>
    <t>Only activity on tickets the user may see.</t>
  </si>
  <si>
    <t>Q-19</t>
  </si>
  <si>
    <t>AC-ITH-33, AC-ITH-34</t>
  </si>
  <si>
    <t>Should a person get an email about a change they made themselves (for example a technician assigning a ticket to themselves)?</t>
  </si>
  <si>
    <t>Avoids noise; changes how the flows decide who to email.</t>
  </si>
  <si>
    <t>No email to the person who made the change.</t>
  </si>
  <si>
    <t>Q-20</t>
  </si>
  <si>
    <t>AC-ITH-29, AC-ITH-39</t>
  </si>
  <si>
    <t>May a requester close or reopen their own ticket (for example after the fix works)?</t>
  </si>
  <si>
    <t>The BRD says requesters cannot change status; closing is a common request.</t>
  </si>
  <si>
    <t>No: only technicians and administrators change status.</t>
  </si>
  <si>
    <t>Q-21</t>
  </si>
  <si>
    <t>AC-ITH-20, AC-ITH-27</t>
  </si>
  <si>
    <t>May requesters raise a ticket on someone else's behalf (editing the requester name and email), and may they comment on their own tickets?</t>
  </si>
  <si>
    <t>The prototype lets anyone change the requester fields; the BRD defaults them to the signed-in user.</t>
  </si>
  <si>
    <t>Only technicians and administrators can change the requester; requesters can comment on their own tickets.</t>
  </si>
  <si>
    <t>Input ID</t>
  </si>
  <si>
    <t>Item</t>
  </si>
  <si>
    <t>Value / Link</t>
  </si>
  <si>
    <t>Provided By</t>
  </si>
  <si>
    <t>Notes</t>
  </si>
  <si>
    <t>Names of the security groups for Requesters, Technicians and Administrators</t>
  </si>
  <si>
    <t>Client IT admin</t>
  </si>
  <si>
    <t>Awaiting</t>
  </si>
  <si>
    <t>Needed to set list permissions and for the role shown on screen.</t>
  </si>
  <si>
    <t>Initial knowledge base articles (category, title, short description, steps) and who maintains them</t>
  </si>
  <si>
    <t>The prototype's 6 articles are used as sample content until then.</t>
  </si>
  <si>
    <t>Final categories, priority definitions (with target text) and technician list (names and emails)</t>
  </si>
  <si>
    <t>Starting values are the prototype's.</t>
  </si>
  <si>
    <t>Mailbox the notification emails are sent from, per environment</t>
  </si>
  <si>
    <t>Goes into the deployment settings for each environment, not the flow.</t>
  </si>
  <si>
    <t>TC ID</t>
  </si>
  <si>
    <t>Check #</t>
  </si>
  <si>
    <t>Test Scenario</t>
  </si>
  <si>
    <t>Preconditions</t>
  </si>
  <si>
    <t>Steps</t>
  </si>
  <si>
    <t>Expected Result</t>
  </si>
  <si>
    <t>Iteration</t>
  </si>
  <si>
    <t>Bug Ref</t>
  </si>
  <si>
    <t>Test execution by component (latest result of each test case)</t>
  </si>
  <si>
    <t>Executed</t>
  </si>
  <si>
    <t>Passed</t>
  </si>
  <si>
    <t>Failed</t>
  </si>
  <si>
    <t>Blocked</t>
  </si>
  <si>
    <t>Not Run</t>
  </si>
  <si>
    <t>Pass Rate</t>
  </si>
  <si>
    <t>Total</t>
  </si>
  <si>
    <t>Acceptance criteria by status</t>
  </si>
  <si>
    <t>Count</t>
  </si>
  <si>
    <t>Candidate</t>
  </si>
  <si>
    <t>In Review</t>
  </si>
  <si>
    <t>Approved</t>
  </si>
  <si>
    <t>Changed</t>
  </si>
  <si>
    <t>On Hold</t>
  </si>
  <si>
    <t>Out of Scope</t>
  </si>
  <si>
    <t>Live criteria with no test case</t>
  </si>
  <si>
    <t>Run `uv run tools/ac_workbook.py check` for the list.</t>
  </si>
  <si>
    <t>Artefact</t>
  </si>
  <si>
    <t>Location</t>
  </si>
  <si>
    <t>BRD</t>
  </si>
  <si>
    <t>inputs/brd/Helpdesk_BRD.xlsx</t>
  </si>
  <si>
    <t>Sheets Helpdesk_BRD 1.0 and Timelines.</t>
  </si>
  <si>
    <t>Accepted design (HTML prototype)</t>
  </si>
  <si>
    <t>inputs/design/index (4).html</t>
  </si>
  <si>
    <t>Confirmed as the accepted design by the Acies delivery lead 2026-10-29; acceptance date to be confirmed (Q-01).</t>
  </si>
  <si>
    <t>Prototype fidelity register</t>
  </si>
  <si>
    <t>specs/prototype-fidelity.md</t>
  </si>
  <si>
    <t>Every prototype element with its AC IDs.</t>
  </si>
  <si>
    <t>Coverage map</t>
  </si>
  <si>
    <t>specs/acceptance-criteria/coverage.md</t>
  </si>
  <si>
    <t>Every BRD row and prototype behaviour with the AC rows that cover it.</t>
  </si>
  <si>
    <t>Albin (PO)</t>
  </si>
  <si>
    <t>Answered</t>
  </si>
  <si>
    <t>Closed</t>
  </si>
  <si>
    <t>This will be handled later, Use a sharepoint list now, with employee email, role column.</t>
  </si>
  <si>
    <t>Phone layout is out of scope.</t>
  </si>
  <si>
    <t>Not needed</t>
  </si>
  <si>
    <t>Only closed and kept for audit.</t>
  </si>
  <si>
    <t>No approvals menu neede.</t>
  </si>
  <si>
    <t>Admin can manage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</si>
</sst>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4"/>
      <name val="Calibri"/>
    </font>
    <font>
      <b/>
      <sz val="11"/>
      <name val="Calibri"/>
    </font>
    <font>
      <b/>
      <sz val="11"/>
      <color rgb="FFFFFFFF"/>
      <name val="Calibri"/>
    </font>
    <font>
      <i/>
      <sz val="11"/>
      <name val="Calibri"/>
    </font>
  </fonts>
  <fills count="3">
    <fill>
      <patternFill patternType="none"/>
    </fill>
    <fill>
      <patternFill patternType="gray125"/>
    </fill>
    <fill>
      <patternFill patternType="solid">
        <fgColor rgb="FF1F4E8C"/>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2" borderId="0" xfId="0" applyFont="1" applyFill="1" applyAlignment="1">
      <alignment vertical="top" wrapText="1"/>
    </xf>
    <xf numFmtId="0" fontId="3" fillId="2" borderId="0" xfId="0" applyFont="1" applyFill="1"/>
    <xf numFmtId="9" fontId="0" fillId="0" borderId="0" xfId="0" applyNumberFormat="1"/>
    <xf numFmtId="0" fontId="4" fillId="0" borderId="0" xfId="0" applyFont="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2"/>
  <sheetViews>
    <sheetView tabSelected="1" workbookViewId="0">
      <selection activeCell="B13" sqref="B13"/>
    </sheetView>
  </sheetViews>
  <sheetFormatPr defaultRowHeight="14.4" x14ac:dyDescent="0.3"/>
  <cols>
    <col min="1" max="1" width="26" customWidth="1"/>
    <col min="2" max="2" width="100" customWidth="1"/>
  </cols>
  <sheetData>
    <row r="1" spans="1:2" ht="18" x14ac:dyDescent="0.35">
      <c r="A1" s="1" t="s">
        <v>0</v>
      </c>
    </row>
    <row r="3" spans="1:2" x14ac:dyDescent="0.3">
      <c r="A3" s="2" t="s">
        <v>1</v>
      </c>
    </row>
    <row r="4" spans="1:2" x14ac:dyDescent="0.3">
      <c r="A4" t="s">
        <v>2</v>
      </c>
      <c r="B4" t="s">
        <v>3</v>
      </c>
    </row>
    <row r="5" spans="1:2" x14ac:dyDescent="0.3">
      <c r="A5" t="s">
        <v>4</v>
      </c>
      <c r="B5" t="s">
        <v>5</v>
      </c>
    </row>
    <row r="6" spans="1:2" x14ac:dyDescent="0.3">
      <c r="A6" t="s">
        <v>6</v>
      </c>
      <c r="B6" t="s">
        <v>7</v>
      </c>
    </row>
    <row r="7" spans="1:2" x14ac:dyDescent="0.3">
      <c r="A7" t="s">
        <v>8</v>
      </c>
      <c r="B7" t="s">
        <v>9</v>
      </c>
    </row>
    <row r="8" spans="1:2" x14ac:dyDescent="0.3">
      <c r="A8" t="s">
        <v>10</v>
      </c>
      <c r="B8" t="s">
        <v>11</v>
      </c>
    </row>
    <row r="9" spans="1:2" x14ac:dyDescent="0.3">
      <c r="A9" t="s">
        <v>12</v>
      </c>
      <c r="B9" t="s">
        <v>585</v>
      </c>
    </row>
    <row r="10" spans="1:2" x14ac:dyDescent="0.3">
      <c r="A10" t="s">
        <v>13</v>
      </c>
      <c r="B10" s="8">
        <v>46324</v>
      </c>
    </row>
    <row r="11" spans="1:2" x14ac:dyDescent="0.3">
      <c r="A11" t="s">
        <v>14</v>
      </c>
      <c r="B11" t="s">
        <v>15</v>
      </c>
    </row>
    <row r="13" spans="1:2" x14ac:dyDescent="0.3">
      <c r="A13" s="2" t="s">
        <v>16</v>
      </c>
      <c r="B13" s="3"/>
    </row>
    <row r="14" spans="1:2" ht="28.8" x14ac:dyDescent="0.3">
      <c r="A14" t="s">
        <v>17</v>
      </c>
      <c r="B14" s="3" t="s">
        <v>18</v>
      </c>
    </row>
    <row r="15" spans="1:2" ht="28.8" x14ac:dyDescent="0.3">
      <c r="A15" t="s">
        <v>19</v>
      </c>
      <c r="B15" s="3" t="s">
        <v>20</v>
      </c>
    </row>
    <row r="16" spans="1:2" ht="28.8" x14ac:dyDescent="0.3">
      <c r="A16" t="s">
        <v>21</v>
      </c>
      <c r="B16" s="3" t="s">
        <v>22</v>
      </c>
    </row>
    <row r="17" spans="1:2" ht="28.8" x14ac:dyDescent="0.3">
      <c r="A17" t="s">
        <v>23</v>
      </c>
      <c r="B17" s="3" t="s">
        <v>24</v>
      </c>
    </row>
    <row r="18" spans="1:2" ht="43.2" x14ac:dyDescent="0.3">
      <c r="A18" t="s">
        <v>25</v>
      </c>
      <c r="B18" s="3" t="s">
        <v>26</v>
      </c>
    </row>
    <row r="19" spans="1:2" x14ac:dyDescent="0.3">
      <c r="A19" t="s">
        <v>27</v>
      </c>
      <c r="B19" s="3" t="s">
        <v>28</v>
      </c>
    </row>
    <row r="20" spans="1:2" x14ac:dyDescent="0.3">
      <c r="A20" t="s">
        <v>29</v>
      </c>
      <c r="B20" s="3" t="s">
        <v>30</v>
      </c>
    </row>
    <row r="21" spans="1:2" x14ac:dyDescent="0.3">
      <c r="B21" s="3"/>
    </row>
    <row r="22" spans="1:2" x14ac:dyDescent="0.3">
      <c r="A22" s="2" t="s">
        <v>31</v>
      </c>
      <c r="B22" s="3"/>
    </row>
    <row r="23" spans="1:2" ht="28.8" x14ac:dyDescent="0.3">
      <c r="A23" t="s">
        <v>32</v>
      </c>
      <c r="B23" s="3" t="s">
        <v>33</v>
      </c>
    </row>
    <row r="24" spans="1:2" ht="57.6" x14ac:dyDescent="0.3">
      <c r="A24" t="s">
        <v>34</v>
      </c>
      <c r="B24" s="3" t="s">
        <v>35</v>
      </c>
    </row>
    <row r="25" spans="1:2" ht="43.2" x14ac:dyDescent="0.3">
      <c r="A25" t="s">
        <v>36</v>
      </c>
      <c r="B25" s="3" t="s">
        <v>37</v>
      </c>
    </row>
    <row r="26" spans="1:2" ht="43.2" x14ac:dyDescent="0.3">
      <c r="A26" t="s">
        <v>38</v>
      </c>
      <c r="B26" s="3" t="s">
        <v>39</v>
      </c>
    </row>
    <row r="27" spans="1:2" x14ac:dyDescent="0.3">
      <c r="A27" t="s">
        <v>40</v>
      </c>
      <c r="B27" s="3" t="s">
        <v>41</v>
      </c>
    </row>
    <row r="28" spans="1:2" x14ac:dyDescent="0.3">
      <c r="A28" t="s">
        <v>42</v>
      </c>
      <c r="B28" s="3" t="s">
        <v>43</v>
      </c>
    </row>
    <row r="29" spans="1:2" x14ac:dyDescent="0.3">
      <c r="A29" t="s">
        <v>44</v>
      </c>
      <c r="B29" s="3" t="s">
        <v>45</v>
      </c>
    </row>
    <row r="30" spans="1:2" x14ac:dyDescent="0.3">
      <c r="A30" t="s">
        <v>46</v>
      </c>
      <c r="B30" s="3" t="s">
        <v>47</v>
      </c>
    </row>
    <row r="31" spans="1:2" x14ac:dyDescent="0.3">
      <c r="B31" s="3"/>
    </row>
    <row r="32" spans="1:2" x14ac:dyDescent="0.3">
      <c r="A32" t="s">
        <v>48</v>
      </c>
      <c r="B32" s="3" t="s">
        <v>49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5"/>
  <sheetViews>
    <sheetView workbookViewId="0">
      <pane xSplit="1" ySplit="1" topLeftCell="H2" activePane="bottomRight" state="frozen"/>
      <selection pane="topRight"/>
      <selection pane="bottomLeft"/>
      <selection pane="bottomRight" activeCell="N2" sqref="N2:N45"/>
    </sheetView>
  </sheetViews>
  <sheetFormatPr defaultRowHeight="14.4" x14ac:dyDescent="0.3"/>
  <cols>
    <col min="1" max="1" width="13" customWidth="1"/>
    <col min="2" max="2" width="24" customWidth="1"/>
    <col min="3" max="3" width="16" customWidth="1"/>
    <col min="4" max="4" width="26" customWidth="1"/>
    <col min="5" max="5" width="48" customWidth="1"/>
    <col min="6" max="6" width="62" customWidth="1"/>
    <col min="7" max="7" width="22" customWidth="1"/>
    <col min="8" max="8" width="34" customWidth="1"/>
    <col min="9" max="9" width="14" customWidth="1"/>
    <col min="10" max="10" width="10" customWidth="1"/>
    <col min="11" max="11" width="30" customWidth="1"/>
    <col min="12" max="12" width="26" customWidth="1"/>
    <col min="13" max="13" width="30" customWidth="1"/>
    <col min="14" max="14" width="12" customWidth="1"/>
    <col min="15" max="15" width="40" customWidth="1"/>
  </cols>
  <sheetData>
    <row r="1" spans="1:15" x14ac:dyDescent="0.3">
      <c r="A1" s="4" t="s">
        <v>50</v>
      </c>
      <c r="B1" s="4" t="s">
        <v>51</v>
      </c>
      <c r="C1" s="4" t="s">
        <v>52</v>
      </c>
      <c r="D1" s="4" t="s">
        <v>53</v>
      </c>
      <c r="E1" s="4" t="s">
        <v>54</v>
      </c>
      <c r="F1" s="4" t="s">
        <v>55</v>
      </c>
      <c r="G1" s="4" t="s">
        <v>56</v>
      </c>
      <c r="H1" s="4" t="s">
        <v>57</v>
      </c>
      <c r="I1" s="4" t="s">
        <v>40</v>
      </c>
      <c r="J1" s="4" t="s">
        <v>42</v>
      </c>
      <c r="K1" s="4" t="s">
        <v>36</v>
      </c>
      <c r="L1" s="4" t="s">
        <v>58</v>
      </c>
      <c r="M1" s="4" t="s">
        <v>59</v>
      </c>
      <c r="N1" s="4" t="s">
        <v>38</v>
      </c>
      <c r="O1" s="4" t="s">
        <v>60</v>
      </c>
    </row>
    <row r="2" spans="1:15" ht="172.8" x14ac:dyDescent="0.3">
      <c r="A2" s="3" t="s">
        <v>61</v>
      </c>
      <c r="B2" s="3" t="s">
        <v>62</v>
      </c>
      <c r="C2" s="3" t="s">
        <v>63</v>
      </c>
      <c r="D2" s="3" t="s">
        <v>64</v>
      </c>
      <c r="E2" s="3" t="s">
        <v>65</v>
      </c>
      <c r="F2" s="3" t="s">
        <v>66</v>
      </c>
      <c r="G2" s="3" t="s">
        <v>67</v>
      </c>
      <c r="H2" s="3" t="s">
        <v>68</v>
      </c>
      <c r="I2" s="3" t="s">
        <v>69</v>
      </c>
      <c r="J2" s="3" t="s">
        <v>70</v>
      </c>
      <c r="K2" s="3" t="s">
        <v>71</v>
      </c>
      <c r="L2" s="3"/>
      <c r="M2" s="3" t="s">
        <v>72</v>
      </c>
      <c r="N2" s="3" t="s">
        <v>565</v>
      </c>
      <c r="O2" s="3"/>
    </row>
    <row r="3" spans="1:15" ht="201.6" x14ac:dyDescent="0.3">
      <c r="A3" s="3" t="s">
        <v>74</v>
      </c>
      <c r="B3" s="3" t="s">
        <v>75</v>
      </c>
      <c r="C3" s="3" t="s">
        <v>63</v>
      </c>
      <c r="D3" s="3" t="s">
        <v>76</v>
      </c>
      <c r="E3" s="3" t="s">
        <v>77</v>
      </c>
      <c r="F3" s="3" t="s">
        <v>78</v>
      </c>
      <c r="G3" s="3" t="s">
        <v>79</v>
      </c>
      <c r="H3" s="3" t="s">
        <v>80</v>
      </c>
      <c r="I3" s="3" t="s">
        <v>81</v>
      </c>
      <c r="J3" s="3" t="s">
        <v>70</v>
      </c>
      <c r="K3" s="3" t="s">
        <v>82</v>
      </c>
      <c r="L3" s="3"/>
      <c r="M3" s="3" t="s">
        <v>83</v>
      </c>
      <c r="N3" s="3" t="s">
        <v>565</v>
      </c>
      <c r="O3" s="3"/>
    </row>
    <row r="4" spans="1:15" ht="129.6" x14ac:dyDescent="0.3">
      <c r="A4" s="3" t="s">
        <v>84</v>
      </c>
      <c r="B4" s="3" t="s">
        <v>75</v>
      </c>
      <c r="C4" s="3" t="s">
        <v>63</v>
      </c>
      <c r="D4" s="3" t="s">
        <v>85</v>
      </c>
      <c r="E4" s="3" t="s">
        <v>86</v>
      </c>
      <c r="F4" s="3" t="s">
        <v>87</v>
      </c>
      <c r="G4" s="3" t="s">
        <v>79</v>
      </c>
      <c r="H4" s="3" t="s">
        <v>68</v>
      </c>
      <c r="I4" s="3" t="s">
        <v>81</v>
      </c>
      <c r="J4" s="3" t="s">
        <v>88</v>
      </c>
      <c r="K4" s="3" t="s">
        <v>89</v>
      </c>
      <c r="L4" s="3"/>
      <c r="M4" s="3"/>
      <c r="N4" s="3" t="s">
        <v>565</v>
      </c>
      <c r="O4" s="3"/>
    </row>
    <row r="5" spans="1:15" ht="158.4" x14ac:dyDescent="0.3">
      <c r="A5" s="3" t="s">
        <v>90</v>
      </c>
      <c r="B5" s="3" t="s">
        <v>91</v>
      </c>
      <c r="C5" s="3" t="s">
        <v>63</v>
      </c>
      <c r="D5" s="3" t="s">
        <v>92</v>
      </c>
      <c r="E5" s="3" t="s">
        <v>93</v>
      </c>
      <c r="F5" s="3" t="s">
        <v>94</v>
      </c>
      <c r="G5" s="3" t="s">
        <v>95</v>
      </c>
      <c r="H5" s="3" t="s">
        <v>68</v>
      </c>
      <c r="I5" s="3" t="s">
        <v>81</v>
      </c>
      <c r="J5" s="3" t="s">
        <v>70</v>
      </c>
      <c r="K5" s="3" t="s">
        <v>96</v>
      </c>
      <c r="L5" s="3"/>
      <c r="M5" s="3"/>
      <c r="N5" s="3" t="s">
        <v>565</v>
      </c>
      <c r="O5" s="3"/>
    </row>
    <row r="6" spans="1:15" ht="115.2" x14ac:dyDescent="0.3">
      <c r="A6" s="3" t="s">
        <v>97</v>
      </c>
      <c r="B6" s="3" t="s">
        <v>98</v>
      </c>
      <c r="C6" s="3" t="s">
        <v>63</v>
      </c>
      <c r="D6" s="3" t="s">
        <v>99</v>
      </c>
      <c r="E6" s="3" t="s">
        <v>100</v>
      </c>
      <c r="F6" s="3" t="s">
        <v>101</v>
      </c>
      <c r="G6" s="3" t="s">
        <v>95</v>
      </c>
      <c r="H6" s="3" t="s">
        <v>102</v>
      </c>
      <c r="I6" s="3" t="s">
        <v>69</v>
      </c>
      <c r="J6" s="3" t="s">
        <v>70</v>
      </c>
      <c r="K6" s="3" t="s">
        <v>103</v>
      </c>
      <c r="L6" s="3" t="s">
        <v>104</v>
      </c>
      <c r="M6" s="3" t="s">
        <v>72</v>
      </c>
      <c r="N6" s="3" t="s">
        <v>565</v>
      </c>
      <c r="O6" s="3"/>
    </row>
    <row r="7" spans="1:15" ht="115.2" x14ac:dyDescent="0.3">
      <c r="A7" s="3" t="s">
        <v>105</v>
      </c>
      <c r="B7" s="3" t="s">
        <v>106</v>
      </c>
      <c r="C7" s="3" t="s">
        <v>63</v>
      </c>
      <c r="D7" s="3" t="s">
        <v>107</v>
      </c>
      <c r="E7" s="3" t="s">
        <v>108</v>
      </c>
      <c r="F7" s="3" t="s">
        <v>109</v>
      </c>
      <c r="G7" s="3" t="s">
        <v>95</v>
      </c>
      <c r="H7" s="3" t="s">
        <v>110</v>
      </c>
      <c r="I7" s="3" t="s">
        <v>69</v>
      </c>
      <c r="J7" s="3" t="s">
        <v>70</v>
      </c>
      <c r="K7" s="3" t="s">
        <v>111</v>
      </c>
      <c r="L7" s="3"/>
      <c r="M7" s="3" t="s">
        <v>112</v>
      </c>
      <c r="N7" s="3" t="s">
        <v>565</v>
      </c>
      <c r="O7" s="3"/>
    </row>
    <row r="8" spans="1:15" ht="144" x14ac:dyDescent="0.3">
      <c r="A8" s="3" t="s">
        <v>113</v>
      </c>
      <c r="B8" s="3" t="s">
        <v>114</v>
      </c>
      <c r="C8" s="3" t="s">
        <v>63</v>
      </c>
      <c r="D8" s="3" t="s">
        <v>115</v>
      </c>
      <c r="E8" s="3" t="s">
        <v>116</v>
      </c>
      <c r="F8" s="3" t="s">
        <v>117</v>
      </c>
      <c r="G8" s="3" t="s">
        <v>95</v>
      </c>
      <c r="H8" s="3" t="s">
        <v>118</v>
      </c>
      <c r="I8" s="3" t="s">
        <v>69</v>
      </c>
      <c r="J8" s="3" t="s">
        <v>119</v>
      </c>
      <c r="K8" s="3" t="s">
        <v>120</v>
      </c>
      <c r="L8" s="3"/>
      <c r="M8" s="3" t="s">
        <v>121</v>
      </c>
      <c r="N8" s="3" t="s">
        <v>565</v>
      </c>
      <c r="O8" s="3"/>
    </row>
    <row r="9" spans="1:15" ht="100.8" x14ac:dyDescent="0.3">
      <c r="A9" s="3" t="s">
        <v>122</v>
      </c>
      <c r="B9" s="3" t="s">
        <v>123</v>
      </c>
      <c r="C9" s="3" t="s">
        <v>63</v>
      </c>
      <c r="D9" s="3" t="s">
        <v>124</v>
      </c>
      <c r="E9" s="3" t="s">
        <v>125</v>
      </c>
      <c r="F9" s="3" t="s">
        <v>126</v>
      </c>
      <c r="G9" s="3" t="s">
        <v>67</v>
      </c>
      <c r="H9" s="3" t="s">
        <v>68</v>
      </c>
      <c r="I9" s="3" t="s">
        <v>81</v>
      </c>
      <c r="J9" s="3" t="s">
        <v>88</v>
      </c>
      <c r="K9" s="3" t="s">
        <v>127</v>
      </c>
      <c r="L9" s="3"/>
      <c r="M9" s="3" t="s">
        <v>128</v>
      </c>
      <c r="N9" s="3" t="s">
        <v>565</v>
      </c>
      <c r="O9" s="3"/>
    </row>
    <row r="10" spans="1:15" ht="216" x14ac:dyDescent="0.3">
      <c r="A10" s="3" t="s">
        <v>129</v>
      </c>
      <c r="B10" s="3" t="s">
        <v>130</v>
      </c>
      <c r="C10" s="3" t="s">
        <v>63</v>
      </c>
      <c r="D10" s="3" t="s">
        <v>131</v>
      </c>
      <c r="E10" s="3" t="s">
        <v>132</v>
      </c>
      <c r="F10" s="3" t="s">
        <v>133</v>
      </c>
      <c r="G10" s="3" t="s">
        <v>67</v>
      </c>
      <c r="H10" s="3" t="s">
        <v>68</v>
      </c>
      <c r="I10" s="3" t="s">
        <v>81</v>
      </c>
      <c r="J10" s="3" t="s">
        <v>70</v>
      </c>
      <c r="K10" s="3" t="s">
        <v>134</v>
      </c>
      <c r="L10" s="3"/>
      <c r="M10" s="3" t="s">
        <v>135</v>
      </c>
      <c r="N10" s="3" t="s">
        <v>565</v>
      </c>
      <c r="O10" s="3"/>
    </row>
    <row r="11" spans="1:15" ht="115.2" x14ac:dyDescent="0.3">
      <c r="A11" s="3" t="s">
        <v>136</v>
      </c>
      <c r="B11" s="3" t="s">
        <v>130</v>
      </c>
      <c r="C11" s="3" t="s">
        <v>63</v>
      </c>
      <c r="D11" s="3" t="s">
        <v>137</v>
      </c>
      <c r="E11" s="3" t="s">
        <v>138</v>
      </c>
      <c r="F11" s="3" t="s">
        <v>139</v>
      </c>
      <c r="G11" s="3" t="s">
        <v>67</v>
      </c>
      <c r="H11" s="3" t="s">
        <v>68</v>
      </c>
      <c r="I11" s="3" t="s">
        <v>81</v>
      </c>
      <c r="J11" s="3" t="s">
        <v>88</v>
      </c>
      <c r="K11" s="3" t="s">
        <v>140</v>
      </c>
      <c r="L11" s="3"/>
      <c r="M11" s="3" t="s">
        <v>128</v>
      </c>
      <c r="N11" s="3" t="s">
        <v>565</v>
      </c>
      <c r="O11" s="3"/>
    </row>
    <row r="12" spans="1:15" ht="144" x14ac:dyDescent="0.3">
      <c r="A12" s="3" t="s">
        <v>141</v>
      </c>
      <c r="B12" s="3" t="s">
        <v>142</v>
      </c>
      <c r="C12" s="3" t="s">
        <v>63</v>
      </c>
      <c r="D12" s="3" t="s">
        <v>143</v>
      </c>
      <c r="E12" s="3" t="s">
        <v>144</v>
      </c>
      <c r="F12" s="3" t="s">
        <v>145</v>
      </c>
      <c r="G12" s="3" t="s">
        <v>146</v>
      </c>
      <c r="H12" s="3" t="s">
        <v>147</v>
      </c>
      <c r="I12" s="3" t="s">
        <v>69</v>
      </c>
      <c r="J12" s="3" t="s">
        <v>70</v>
      </c>
      <c r="K12" s="3" t="s">
        <v>148</v>
      </c>
      <c r="L12" s="3"/>
      <c r="M12" s="3" t="s">
        <v>149</v>
      </c>
      <c r="N12" s="3" t="s">
        <v>565</v>
      </c>
      <c r="O12" s="3"/>
    </row>
    <row r="13" spans="1:15" ht="187.2" x14ac:dyDescent="0.3">
      <c r="A13" s="3" t="s">
        <v>150</v>
      </c>
      <c r="B13" s="3" t="s">
        <v>151</v>
      </c>
      <c r="C13" s="3" t="s">
        <v>63</v>
      </c>
      <c r="D13" s="3" t="s">
        <v>152</v>
      </c>
      <c r="E13" s="3" t="s">
        <v>153</v>
      </c>
      <c r="F13" s="3" t="s">
        <v>154</v>
      </c>
      <c r="G13" s="3" t="s">
        <v>146</v>
      </c>
      <c r="H13" s="3" t="s">
        <v>155</v>
      </c>
      <c r="I13" s="3" t="s">
        <v>69</v>
      </c>
      <c r="J13" s="3" t="s">
        <v>70</v>
      </c>
      <c r="K13" s="3" t="s">
        <v>156</v>
      </c>
      <c r="L13" s="3"/>
      <c r="M13" s="3" t="s">
        <v>149</v>
      </c>
      <c r="N13" s="3" t="s">
        <v>565</v>
      </c>
      <c r="O13" s="3"/>
    </row>
    <row r="14" spans="1:15" ht="144" x14ac:dyDescent="0.3">
      <c r="A14" s="3" t="s">
        <v>157</v>
      </c>
      <c r="B14" s="3" t="s">
        <v>158</v>
      </c>
      <c r="C14" s="3" t="s">
        <v>63</v>
      </c>
      <c r="D14" s="3" t="s">
        <v>159</v>
      </c>
      <c r="E14" s="3" t="s">
        <v>160</v>
      </c>
      <c r="F14" s="3" t="s">
        <v>161</v>
      </c>
      <c r="G14" s="3" t="s">
        <v>146</v>
      </c>
      <c r="H14" s="3" t="s">
        <v>162</v>
      </c>
      <c r="I14" s="3" t="s">
        <v>81</v>
      </c>
      <c r="J14" s="3" t="s">
        <v>70</v>
      </c>
      <c r="K14" s="3" t="s">
        <v>163</v>
      </c>
      <c r="L14" s="3"/>
      <c r="M14" s="3"/>
      <c r="N14" s="3" t="s">
        <v>565</v>
      </c>
      <c r="O14" s="3"/>
    </row>
    <row r="15" spans="1:15" ht="72" x14ac:dyDescent="0.3">
      <c r="A15" s="3" t="s">
        <v>164</v>
      </c>
      <c r="B15" s="3" t="s">
        <v>165</v>
      </c>
      <c r="C15" s="3" t="s">
        <v>63</v>
      </c>
      <c r="D15" s="3" t="s">
        <v>166</v>
      </c>
      <c r="E15" s="3" t="s">
        <v>167</v>
      </c>
      <c r="F15" s="3" t="s">
        <v>168</v>
      </c>
      <c r="G15" s="3" t="s">
        <v>146</v>
      </c>
      <c r="H15" s="3" t="s">
        <v>118</v>
      </c>
      <c r="I15" s="3" t="s">
        <v>69</v>
      </c>
      <c r="J15" s="3" t="s">
        <v>119</v>
      </c>
      <c r="K15" s="3" t="s">
        <v>169</v>
      </c>
      <c r="L15" s="3"/>
      <c r="M15" s="3" t="s">
        <v>121</v>
      </c>
      <c r="N15" s="3" t="s">
        <v>565</v>
      </c>
      <c r="O15" s="3"/>
    </row>
    <row r="16" spans="1:15" ht="187.2" x14ac:dyDescent="0.3">
      <c r="A16" s="3" t="s">
        <v>170</v>
      </c>
      <c r="B16" s="3" t="s">
        <v>171</v>
      </c>
      <c r="C16" s="3" t="s">
        <v>63</v>
      </c>
      <c r="D16" s="3" t="s">
        <v>171</v>
      </c>
      <c r="E16" s="3" t="s">
        <v>172</v>
      </c>
      <c r="F16" s="3" t="s">
        <v>173</v>
      </c>
      <c r="G16" s="3" t="s">
        <v>174</v>
      </c>
      <c r="H16" s="3" t="s">
        <v>175</v>
      </c>
      <c r="I16" s="3" t="s">
        <v>69</v>
      </c>
      <c r="J16" s="3" t="s">
        <v>70</v>
      </c>
      <c r="K16" s="3" t="s">
        <v>176</v>
      </c>
      <c r="L16" s="3"/>
      <c r="M16" s="3" t="s">
        <v>112</v>
      </c>
      <c r="N16" s="3" t="s">
        <v>565</v>
      </c>
      <c r="O16" s="3"/>
    </row>
    <row r="17" spans="1:15" ht="201.6" x14ac:dyDescent="0.3">
      <c r="A17" s="3" t="s">
        <v>177</v>
      </c>
      <c r="B17" s="3" t="s">
        <v>178</v>
      </c>
      <c r="C17" s="3" t="s">
        <v>63</v>
      </c>
      <c r="D17" s="3" t="s">
        <v>179</v>
      </c>
      <c r="E17" s="3" t="s">
        <v>180</v>
      </c>
      <c r="F17" s="3" t="s">
        <v>181</v>
      </c>
      <c r="G17" s="3" t="s">
        <v>174</v>
      </c>
      <c r="H17" s="3" t="s">
        <v>182</v>
      </c>
      <c r="I17" s="3" t="s">
        <v>69</v>
      </c>
      <c r="J17" s="3" t="s">
        <v>70</v>
      </c>
      <c r="K17" s="3" t="s">
        <v>183</v>
      </c>
      <c r="L17" s="3"/>
      <c r="M17" s="3" t="s">
        <v>112</v>
      </c>
      <c r="N17" s="3" t="s">
        <v>565</v>
      </c>
      <c r="O17" s="3"/>
    </row>
    <row r="18" spans="1:15" ht="158.4" x14ac:dyDescent="0.3">
      <c r="A18" s="3" t="s">
        <v>184</v>
      </c>
      <c r="B18" s="3" t="s">
        <v>185</v>
      </c>
      <c r="C18" s="3" t="s">
        <v>63</v>
      </c>
      <c r="D18" s="3" t="s">
        <v>186</v>
      </c>
      <c r="E18" s="3" t="s">
        <v>187</v>
      </c>
      <c r="F18" s="3" t="s">
        <v>188</v>
      </c>
      <c r="G18" s="3" t="s">
        <v>174</v>
      </c>
      <c r="H18" s="3" t="s">
        <v>189</v>
      </c>
      <c r="I18" s="3" t="s">
        <v>69</v>
      </c>
      <c r="J18" s="3" t="s">
        <v>70</v>
      </c>
      <c r="K18" s="3" t="s">
        <v>190</v>
      </c>
      <c r="L18" s="3"/>
      <c r="M18" s="3" t="s">
        <v>112</v>
      </c>
      <c r="N18" s="3" t="s">
        <v>565</v>
      </c>
      <c r="O18" s="3"/>
    </row>
    <row r="19" spans="1:15" ht="187.2" x14ac:dyDescent="0.3">
      <c r="A19" s="3" t="s">
        <v>191</v>
      </c>
      <c r="B19" s="3" t="s">
        <v>192</v>
      </c>
      <c r="C19" s="3" t="s">
        <v>63</v>
      </c>
      <c r="D19" s="3" t="s">
        <v>193</v>
      </c>
      <c r="E19" s="3" t="s">
        <v>194</v>
      </c>
      <c r="F19" s="3" t="s">
        <v>195</v>
      </c>
      <c r="G19" s="3" t="s">
        <v>174</v>
      </c>
      <c r="H19" s="3" t="s">
        <v>110</v>
      </c>
      <c r="I19" s="3" t="s">
        <v>81</v>
      </c>
      <c r="J19" s="3" t="s">
        <v>70</v>
      </c>
      <c r="K19" s="3" t="s">
        <v>196</v>
      </c>
      <c r="L19" s="3"/>
      <c r="M19" s="3" t="s">
        <v>197</v>
      </c>
      <c r="N19" s="3" t="s">
        <v>565</v>
      </c>
      <c r="O19" s="3"/>
    </row>
    <row r="20" spans="1:15" ht="129.6" x14ac:dyDescent="0.3">
      <c r="A20" s="3" t="s">
        <v>198</v>
      </c>
      <c r="B20" s="3" t="s">
        <v>199</v>
      </c>
      <c r="C20" s="3" t="s">
        <v>63</v>
      </c>
      <c r="D20" s="3" t="s">
        <v>199</v>
      </c>
      <c r="E20" s="3" t="s">
        <v>200</v>
      </c>
      <c r="F20" s="3" t="s">
        <v>201</v>
      </c>
      <c r="G20" s="3" t="s">
        <v>174</v>
      </c>
      <c r="H20" s="3" t="s">
        <v>202</v>
      </c>
      <c r="I20" s="3" t="s">
        <v>69</v>
      </c>
      <c r="J20" s="3" t="s">
        <v>70</v>
      </c>
      <c r="K20" s="3" t="s">
        <v>203</v>
      </c>
      <c r="L20" s="3"/>
      <c r="M20" s="3" t="s">
        <v>204</v>
      </c>
      <c r="N20" s="3" t="s">
        <v>565</v>
      </c>
      <c r="O20" s="3"/>
    </row>
    <row r="21" spans="1:15" ht="302.39999999999998" x14ac:dyDescent="0.3">
      <c r="A21" s="3" t="s">
        <v>205</v>
      </c>
      <c r="B21" s="3" t="s">
        <v>206</v>
      </c>
      <c r="C21" s="3" t="s">
        <v>207</v>
      </c>
      <c r="D21" s="3" t="s">
        <v>208</v>
      </c>
      <c r="E21" s="3" t="s">
        <v>209</v>
      </c>
      <c r="F21" s="3" t="s">
        <v>210</v>
      </c>
      <c r="G21" s="3" t="s">
        <v>211</v>
      </c>
      <c r="H21" s="3" t="s">
        <v>212</v>
      </c>
      <c r="I21" s="3" t="s">
        <v>81</v>
      </c>
      <c r="J21" s="3" t="s">
        <v>70</v>
      </c>
      <c r="K21" s="3" t="s">
        <v>213</v>
      </c>
      <c r="L21" s="3"/>
      <c r="M21" s="3" t="s">
        <v>214</v>
      </c>
      <c r="N21" s="3" t="s">
        <v>565</v>
      </c>
      <c r="O21" s="3"/>
    </row>
    <row r="22" spans="1:15" ht="201.6" x14ac:dyDescent="0.3">
      <c r="A22" s="3" t="s">
        <v>215</v>
      </c>
      <c r="B22" s="3" t="s">
        <v>216</v>
      </c>
      <c r="C22" s="3" t="s">
        <v>207</v>
      </c>
      <c r="D22" s="3" t="s">
        <v>217</v>
      </c>
      <c r="E22" s="3" t="s">
        <v>218</v>
      </c>
      <c r="F22" s="3" t="s">
        <v>219</v>
      </c>
      <c r="G22" s="3" t="s">
        <v>211</v>
      </c>
      <c r="H22" s="3" t="s">
        <v>220</v>
      </c>
      <c r="I22" s="3" t="s">
        <v>69</v>
      </c>
      <c r="J22" s="3" t="s">
        <v>70</v>
      </c>
      <c r="K22" s="3" t="s">
        <v>221</v>
      </c>
      <c r="L22" s="3"/>
      <c r="M22" s="3" t="s">
        <v>222</v>
      </c>
      <c r="N22" s="3" t="s">
        <v>565</v>
      </c>
      <c r="O22" s="3"/>
    </row>
    <row r="23" spans="1:15" ht="201.6" x14ac:dyDescent="0.3">
      <c r="A23" s="3" t="s">
        <v>223</v>
      </c>
      <c r="B23" s="3" t="s">
        <v>206</v>
      </c>
      <c r="C23" s="3" t="s">
        <v>207</v>
      </c>
      <c r="D23" s="3" t="s">
        <v>224</v>
      </c>
      <c r="E23" s="3" t="s">
        <v>225</v>
      </c>
      <c r="F23" s="3" t="s">
        <v>226</v>
      </c>
      <c r="G23" s="3" t="s">
        <v>211</v>
      </c>
      <c r="H23" s="3" t="s">
        <v>227</v>
      </c>
      <c r="I23" s="3" t="s">
        <v>69</v>
      </c>
      <c r="J23" s="3" t="s">
        <v>70</v>
      </c>
      <c r="K23" s="3" t="s">
        <v>228</v>
      </c>
      <c r="L23" s="3"/>
      <c r="M23" s="3" t="s">
        <v>204</v>
      </c>
      <c r="N23" s="3" t="s">
        <v>565</v>
      </c>
      <c r="O23" s="3"/>
    </row>
    <row r="24" spans="1:15" ht="172.8" x14ac:dyDescent="0.3">
      <c r="A24" s="3" t="s">
        <v>229</v>
      </c>
      <c r="B24" s="3" t="s">
        <v>230</v>
      </c>
      <c r="C24" s="3" t="s">
        <v>207</v>
      </c>
      <c r="D24" s="3" t="s">
        <v>230</v>
      </c>
      <c r="E24" s="3" t="s">
        <v>231</v>
      </c>
      <c r="F24" s="3" t="s">
        <v>232</v>
      </c>
      <c r="G24" s="3" t="s">
        <v>211</v>
      </c>
      <c r="H24" s="3" t="s">
        <v>233</v>
      </c>
      <c r="I24" s="3" t="s">
        <v>69</v>
      </c>
      <c r="J24" s="3" t="s">
        <v>70</v>
      </c>
      <c r="K24" s="3" t="s">
        <v>234</v>
      </c>
      <c r="L24" s="3"/>
      <c r="M24" s="3" t="s">
        <v>235</v>
      </c>
      <c r="N24" s="3" t="s">
        <v>565</v>
      </c>
      <c r="O24" s="3"/>
    </row>
    <row r="25" spans="1:15" ht="187.2" x14ac:dyDescent="0.3">
      <c r="A25" s="3" t="s">
        <v>236</v>
      </c>
      <c r="B25" s="3" t="s">
        <v>237</v>
      </c>
      <c r="C25" s="3" t="s">
        <v>63</v>
      </c>
      <c r="D25" s="3" t="s">
        <v>238</v>
      </c>
      <c r="E25" s="3" t="s">
        <v>239</v>
      </c>
      <c r="F25" s="3" t="s">
        <v>240</v>
      </c>
      <c r="G25" s="3" t="s">
        <v>241</v>
      </c>
      <c r="H25" s="3" t="s">
        <v>242</v>
      </c>
      <c r="I25" s="3" t="s">
        <v>81</v>
      </c>
      <c r="J25" s="3" t="s">
        <v>70</v>
      </c>
      <c r="K25" s="3" t="s">
        <v>243</v>
      </c>
      <c r="L25" s="3"/>
      <c r="M25" s="3" t="s">
        <v>204</v>
      </c>
      <c r="N25" s="3" t="s">
        <v>565</v>
      </c>
      <c r="O25" s="3"/>
    </row>
    <row r="26" spans="1:15" ht="187.2" x14ac:dyDescent="0.3">
      <c r="A26" s="3" t="s">
        <v>244</v>
      </c>
      <c r="B26" s="3" t="s">
        <v>245</v>
      </c>
      <c r="C26" s="3" t="s">
        <v>246</v>
      </c>
      <c r="D26" s="3" t="s">
        <v>247</v>
      </c>
      <c r="E26" s="3" t="s">
        <v>248</v>
      </c>
      <c r="F26" s="3" t="s">
        <v>249</v>
      </c>
      <c r="G26" s="3" t="s">
        <v>241</v>
      </c>
      <c r="H26" s="3" t="s">
        <v>250</v>
      </c>
      <c r="I26" s="3" t="s">
        <v>69</v>
      </c>
      <c r="J26" s="3" t="s">
        <v>70</v>
      </c>
      <c r="K26" s="3" t="s">
        <v>251</v>
      </c>
      <c r="L26" s="3"/>
      <c r="M26" s="3" t="s">
        <v>204</v>
      </c>
      <c r="N26" s="3" t="s">
        <v>565</v>
      </c>
      <c r="O26" s="3"/>
    </row>
    <row r="27" spans="1:15" ht="158.4" x14ac:dyDescent="0.3">
      <c r="A27" s="3" t="s">
        <v>252</v>
      </c>
      <c r="B27" s="3" t="s">
        <v>253</v>
      </c>
      <c r="C27" s="3" t="s">
        <v>246</v>
      </c>
      <c r="D27" s="3" t="s">
        <v>254</v>
      </c>
      <c r="E27" s="3" t="s">
        <v>255</v>
      </c>
      <c r="F27" s="3" t="s">
        <v>256</v>
      </c>
      <c r="G27" s="3" t="s">
        <v>211</v>
      </c>
      <c r="H27" s="3" t="s">
        <v>257</v>
      </c>
      <c r="I27" s="3" t="s">
        <v>69</v>
      </c>
      <c r="J27" s="3" t="s">
        <v>70</v>
      </c>
      <c r="K27" s="3" t="s">
        <v>258</v>
      </c>
      <c r="L27" s="3"/>
      <c r="M27" s="3" t="s">
        <v>197</v>
      </c>
      <c r="N27" s="3" t="s">
        <v>565</v>
      </c>
      <c r="O27" s="3"/>
    </row>
    <row r="28" spans="1:15" ht="201.6" x14ac:dyDescent="0.3">
      <c r="A28" s="3" t="s">
        <v>259</v>
      </c>
      <c r="B28" s="3" t="s">
        <v>260</v>
      </c>
      <c r="C28" s="3" t="s">
        <v>63</v>
      </c>
      <c r="D28" s="3" t="s">
        <v>261</v>
      </c>
      <c r="E28" s="3" t="s">
        <v>262</v>
      </c>
      <c r="F28" s="3" t="s">
        <v>263</v>
      </c>
      <c r="G28" s="3" t="s">
        <v>241</v>
      </c>
      <c r="H28" s="3" t="s">
        <v>264</v>
      </c>
      <c r="I28" s="3" t="s">
        <v>69</v>
      </c>
      <c r="J28" s="3" t="s">
        <v>70</v>
      </c>
      <c r="K28" s="3" t="s">
        <v>265</v>
      </c>
      <c r="L28" s="3"/>
      <c r="M28" s="3" t="s">
        <v>266</v>
      </c>
      <c r="N28" s="3" t="s">
        <v>565</v>
      </c>
      <c r="O28" s="3"/>
    </row>
    <row r="29" spans="1:15" ht="129.6" x14ac:dyDescent="0.3">
      <c r="A29" s="3" t="s">
        <v>267</v>
      </c>
      <c r="B29" s="3" t="s">
        <v>268</v>
      </c>
      <c r="C29" s="3" t="s">
        <v>63</v>
      </c>
      <c r="D29" s="3" t="s">
        <v>269</v>
      </c>
      <c r="E29" s="3" t="s">
        <v>270</v>
      </c>
      <c r="F29" s="3" t="s">
        <v>271</v>
      </c>
      <c r="G29" s="3" t="s">
        <v>241</v>
      </c>
      <c r="H29" s="3" t="s">
        <v>272</v>
      </c>
      <c r="I29" s="3" t="s">
        <v>69</v>
      </c>
      <c r="J29" s="3" t="s">
        <v>70</v>
      </c>
      <c r="K29" s="3" t="s">
        <v>273</v>
      </c>
      <c r="L29" s="3"/>
      <c r="M29" s="3" t="s">
        <v>274</v>
      </c>
      <c r="N29" s="3" t="s">
        <v>565</v>
      </c>
      <c r="O29" s="3"/>
    </row>
    <row r="30" spans="1:15" ht="187.2" x14ac:dyDescent="0.3">
      <c r="A30" s="3" t="s">
        <v>275</v>
      </c>
      <c r="B30" s="3" t="s">
        <v>276</v>
      </c>
      <c r="C30" s="3" t="s">
        <v>246</v>
      </c>
      <c r="D30" s="3" t="s">
        <v>277</v>
      </c>
      <c r="E30" s="3" t="s">
        <v>278</v>
      </c>
      <c r="F30" s="3" t="s">
        <v>279</v>
      </c>
      <c r="G30" s="3" t="s">
        <v>241</v>
      </c>
      <c r="H30" s="3" t="s">
        <v>280</v>
      </c>
      <c r="I30" s="3" t="s">
        <v>69</v>
      </c>
      <c r="J30" s="3" t="s">
        <v>70</v>
      </c>
      <c r="K30" s="3" t="s">
        <v>281</v>
      </c>
      <c r="L30" s="3"/>
      <c r="M30" s="3" t="s">
        <v>282</v>
      </c>
      <c r="N30" s="3" t="s">
        <v>565</v>
      </c>
      <c r="O30" s="3"/>
    </row>
    <row r="31" spans="1:15" ht="158.4" x14ac:dyDescent="0.3">
      <c r="A31" s="3" t="s">
        <v>283</v>
      </c>
      <c r="B31" s="3" t="s">
        <v>284</v>
      </c>
      <c r="C31" s="3" t="s">
        <v>285</v>
      </c>
      <c r="D31" s="3" t="s">
        <v>286</v>
      </c>
      <c r="E31" s="3" t="s">
        <v>287</v>
      </c>
      <c r="F31" s="3" t="s">
        <v>288</v>
      </c>
      <c r="G31" s="3" t="s">
        <v>241</v>
      </c>
      <c r="H31" s="3" t="s">
        <v>289</v>
      </c>
      <c r="I31" s="3" t="s">
        <v>69</v>
      </c>
      <c r="J31" s="3" t="s">
        <v>70</v>
      </c>
      <c r="K31" s="3" t="s">
        <v>290</v>
      </c>
      <c r="L31" s="3"/>
      <c r="M31" s="3" t="s">
        <v>274</v>
      </c>
      <c r="N31" s="3" t="s">
        <v>565</v>
      </c>
      <c r="O31" s="3"/>
    </row>
    <row r="32" spans="1:15" ht="129.6" x14ac:dyDescent="0.3">
      <c r="A32" s="3" t="s">
        <v>291</v>
      </c>
      <c r="B32" s="3" t="s">
        <v>292</v>
      </c>
      <c r="C32" s="3" t="s">
        <v>246</v>
      </c>
      <c r="D32" s="3" t="s">
        <v>293</v>
      </c>
      <c r="E32" s="3" t="s">
        <v>294</v>
      </c>
      <c r="F32" s="3" t="s">
        <v>295</v>
      </c>
      <c r="G32" s="3" t="s">
        <v>241</v>
      </c>
      <c r="H32" s="3" t="s">
        <v>296</v>
      </c>
      <c r="I32" s="3" t="s">
        <v>69</v>
      </c>
      <c r="J32" s="3" t="s">
        <v>70</v>
      </c>
      <c r="K32" s="3" t="s">
        <v>297</v>
      </c>
      <c r="L32" s="3" t="s">
        <v>298</v>
      </c>
      <c r="M32" s="3" t="s">
        <v>299</v>
      </c>
      <c r="N32" s="3" t="s">
        <v>565</v>
      </c>
      <c r="O32" s="3"/>
    </row>
    <row r="33" spans="1:15" ht="115.2" x14ac:dyDescent="0.3">
      <c r="A33" s="3" t="s">
        <v>300</v>
      </c>
      <c r="B33" s="3" t="s">
        <v>301</v>
      </c>
      <c r="C33" s="3" t="s">
        <v>302</v>
      </c>
      <c r="D33" s="3" t="s">
        <v>303</v>
      </c>
      <c r="E33" s="3" t="s">
        <v>304</v>
      </c>
      <c r="F33" s="3" t="s">
        <v>305</v>
      </c>
      <c r="G33" s="3" t="s">
        <v>306</v>
      </c>
      <c r="H33" s="3" t="s">
        <v>307</v>
      </c>
      <c r="I33" s="3" t="s">
        <v>308</v>
      </c>
      <c r="J33" s="3" t="s">
        <v>70</v>
      </c>
      <c r="K33" s="3" t="s">
        <v>309</v>
      </c>
      <c r="L33" s="3" t="s">
        <v>310</v>
      </c>
      <c r="M33" s="3" t="s">
        <v>311</v>
      </c>
      <c r="N33" s="3" t="s">
        <v>565</v>
      </c>
      <c r="O33" s="3"/>
    </row>
    <row r="34" spans="1:15" ht="86.4" x14ac:dyDescent="0.3">
      <c r="A34" s="3" t="s">
        <v>312</v>
      </c>
      <c r="B34" s="3" t="s">
        <v>313</v>
      </c>
      <c r="C34" s="3" t="s">
        <v>314</v>
      </c>
      <c r="D34" s="3" t="s">
        <v>315</v>
      </c>
      <c r="E34" s="3" t="s">
        <v>316</v>
      </c>
      <c r="F34" s="3" t="s">
        <v>317</v>
      </c>
      <c r="G34" s="3" t="s">
        <v>318</v>
      </c>
      <c r="H34" s="3" t="s">
        <v>319</v>
      </c>
      <c r="I34" s="3" t="s">
        <v>308</v>
      </c>
      <c r="J34" s="3" t="s">
        <v>70</v>
      </c>
      <c r="K34" s="3" t="s">
        <v>309</v>
      </c>
      <c r="L34" s="3" t="s">
        <v>310</v>
      </c>
      <c r="M34" s="3" t="s">
        <v>320</v>
      </c>
      <c r="N34" s="3" t="s">
        <v>565</v>
      </c>
      <c r="O34" s="3"/>
    </row>
    <row r="35" spans="1:15" ht="100.8" x14ac:dyDescent="0.3">
      <c r="A35" s="3" t="s">
        <v>321</v>
      </c>
      <c r="B35" s="3" t="s">
        <v>301</v>
      </c>
      <c r="C35" s="3" t="s">
        <v>302</v>
      </c>
      <c r="D35" s="3" t="s">
        <v>322</v>
      </c>
      <c r="E35" s="3" t="s">
        <v>323</v>
      </c>
      <c r="F35" s="3" t="s">
        <v>324</v>
      </c>
      <c r="G35" s="3" t="s">
        <v>325</v>
      </c>
      <c r="H35" s="3" t="s">
        <v>326</v>
      </c>
      <c r="I35" s="3" t="s">
        <v>308</v>
      </c>
      <c r="J35" s="3" t="s">
        <v>70</v>
      </c>
      <c r="K35" s="3" t="s">
        <v>309</v>
      </c>
      <c r="L35" s="3" t="s">
        <v>310</v>
      </c>
      <c r="M35" s="3" t="s">
        <v>320</v>
      </c>
      <c r="N35" s="3" t="s">
        <v>565</v>
      </c>
      <c r="O35" s="3"/>
    </row>
    <row r="36" spans="1:15" ht="216" x14ac:dyDescent="0.3">
      <c r="A36" s="3" t="s">
        <v>327</v>
      </c>
      <c r="B36" s="3" t="s">
        <v>328</v>
      </c>
      <c r="C36" s="3" t="s">
        <v>63</v>
      </c>
      <c r="D36" s="3" t="s">
        <v>329</v>
      </c>
      <c r="E36" s="3" t="s">
        <v>330</v>
      </c>
      <c r="F36" s="3" t="s">
        <v>331</v>
      </c>
      <c r="G36" s="3" t="s">
        <v>332</v>
      </c>
      <c r="H36" s="3" t="s">
        <v>333</v>
      </c>
      <c r="I36" s="3" t="s">
        <v>69</v>
      </c>
      <c r="J36" s="3" t="s">
        <v>70</v>
      </c>
      <c r="K36" s="3" t="s">
        <v>334</v>
      </c>
      <c r="L36" s="3" t="s">
        <v>335</v>
      </c>
      <c r="M36" s="3" t="s">
        <v>336</v>
      </c>
      <c r="N36" s="3" t="s">
        <v>565</v>
      </c>
      <c r="O36" s="3"/>
    </row>
    <row r="37" spans="1:15" ht="144" x14ac:dyDescent="0.3">
      <c r="A37" s="3" t="s">
        <v>337</v>
      </c>
      <c r="B37" s="3" t="s">
        <v>338</v>
      </c>
      <c r="C37" s="3" t="s">
        <v>63</v>
      </c>
      <c r="D37" s="3" t="s">
        <v>339</v>
      </c>
      <c r="E37" s="3" t="s">
        <v>340</v>
      </c>
      <c r="F37" s="3" t="s">
        <v>341</v>
      </c>
      <c r="G37" s="3" t="s">
        <v>332</v>
      </c>
      <c r="H37" s="3" t="s">
        <v>342</v>
      </c>
      <c r="I37" s="3" t="s">
        <v>69</v>
      </c>
      <c r="J37" s="3" t="s">
        <v>70</v>
      </c>
      <c r="K37" s="3" t="s">
        <v>343</v>
      </c>
      <c r="L37" s="3"/>
      <c r="M37" s="3"/>
      <c r="N37" s="3" t="s">
        <v>565</v>
      </c>
      <c r="O37" s="3"/>
    </row>
    <row r="38" spans="1:15" ht="172.8" x14ac:dyDescent="0.3">
      <c r="A38" s="3" t="s">
        <v>344</v>
      </c>
      <c r="B38" s="3" t="s">
        <v>345</v>
      </c>
      <c r="C38" s="3" t="s">
        <v>63</v>
      </c>
      <c r="D38" s="3" t="s">
        <v>346</v>
      </c>
      <c r="E38" s="3" t="s">
        <v>347</v>
      </c>
      <c r="F38" s="3" t="s">
        <v>348</v>
      </c>
      <c r="G38" s="3" t="s">
        <v>349</v>
      </c>
      <c r="H38" s="3" t="s">
        <v>350</v>
      </c>
      <c r="I38" s="3" t="s">
        <v>81</v>
      </c>
      <c r="J38" s="3" t="s">
        <v>119</v>
      </c>
      <c r="K38" s="3" t="s">
        <v>351</v>
      </c>
      <c r="L38" s="3" t="s">
        <v>298</v>
      </c>
      <c r="M38" s="3" t="s">
        <v>352</v>
      </c>
      <c r="N38" s="3" t="s">
        <v>565</v>
      </c>
      <c r="O38" s="3"/>
    </row>
    <row r="39" spans="1:15" ht="201.6" x14ac:dyDescent="0.3">
      <c r="A39" s="3" t="s">
        <v>353</v>
      </c>
      <c r="B39" s="3" t="s">
        <v>354</v>
      </c>
      <c r="C39" s="3" t="s">
        <v>285</v>
      </c>
      <c r="D39" s="3" t="s">
        <v>355</v>
      </c>
      <c r="E39" s="3" t="s">
        <v>356</v>
      </c>
      <c r="F39" s="3" t="s">
        <v>357</v>
      </c>
      <c r="G39" s="3" t="s">
        <v>67</v>
      </c>
      <c r="H39" s="3" t="s">
        <v>358</v>
      </c>
      <c r="I39" s="3" t="s">
        <v>359</v>
      </c>
      <c r="J39" s="3" t="s">
        <v>70</v>
      </c>
      <c r="K39" s="3" t="s">
        <v>360</v>
      </c>
      <c r="L39" s="3" t="s">
        <v>298</v>
      </c>
      <c r="M39" s="3" t="s">
        <v>336</v>
      </c>
      <c r="N39" s="3" t="s">
        <v>565</v>
      </c>
      <c r="O39" s="3"/>
    </row>
    <row r="40" spans="1:15" ht="144" x14ac:dyDescent="0.3">
      <c r="A40" s="3" t="s">
        <v>361</v>
      </c>
      <c r="B40" s="3" t="s">
        <v>362</v>
      </c>
      <c r="C40" s="3" t="s">
        <v>302</v>
      </c>
      <c r="D40" s="3" t="s">
        <v>363</v>
      </c>
      <c r="E40" s="3" t="s">
        <v>364</v>
      </c>
      <c r="F40" s="3" t="s">
        <v>365</v>
      </c>
      <c r="G40" s="3" t="s">
        <v>67</v>
      </c>
      <c r="H40" s="3" t="s">
        <v>366</v>
      </c>
      <c r="I40" s="3" t="s">
        <v>367</v>
      </c>
      <c r="J40" s="3" t="s">
        <v>70</v>
      </c>
      <c r="K40" s="3" t="s">
        <v>368</v>
      </c>
      <c r="L40" s="3" t="s">
        <v>104</v>
      </c>
      <c r="M40" s="3" t="s">
        <v>369</v>
      </c>
      <c r="N40" s="3" t="s">
        <v>565</v>
      </c>
      <c r="O40" s="3"/>
    </row>
    <row r="41" spans="1:15" ht="86.4" x14ac:dyDescent="0.3">
      <c r="A41" s="3" t="s">
        <v>370</v>
      </c>
      <c r="B41" s="3" t="s">
        <v>371</v>
      </c>
      <c r="C41" s="3" t="s">
        <v>314</v>
      </c>
      <c r="D41" s="3" t="s">
        <v>372</v>
      </c>
      <c r="E41" s="3" t="s">
        <v>373</v>
      </c>
      <c r="F41" s="3" t="s">
        <v>374</v>
      </c>
      <c r="G41" s="3" t="s">
        <v>67</v>
      </c>
      <c r="H41" s="3" t="s">
        <v>375</v>
      </c>
      <c r="I41" s="3" t="s">
        <v>367</v>
      </c>
      <c r="J41" s="3" t="s">
        <v>70</v>
      </c>
      <c r="K41" s="3" t="s">
        <v>376</v>
      </c>
      <c r="L41" s="3" t="s">
        <v>104</v>
      </c>
      <c r="M41" s="3" t="s">
        <v>72</v>
      </c>
      <c r="N41" s="3" t="s">
        <v>565</v>
      </c>
      <c r="O41" s="3"/>
    </row>
    <row r="42" spans="1:15" ht="86.4" x14ac:dyDescent="0.3">
      <c r="A42" s="3" t="s">
        <v>377</v>
      </c>
      <c r="B42" s="3" t="s">
        <v>378</v>
      </c>
      <c r="C42" s="3" t="s">
        <v>285</v>
      </c>
      <c r="D42" s="3" t="s">
        <v>379</v>
      </c>
      <c r="E42" s="3" t="s">
        <v>380</v>
      </c>
      <c r="F42" s="3" t="s">
        <v>381</v>
      </c>
      <c r="G42" s="3" t="s">
        <v>67</v>
      </c>
      <c r="H42" s="3" t="s">
        <v>382</v>
      </c>
      <c r="I42" s="3" t="s">
        <v>367</v>
      </c>
      <c r="J42" s="3" t="s">
        <v>70</v>
      </c>
      <c r="K42" s="3" t="s">
        <v>383</v>
      </c>
      <c r="L42" s="3" t="s">
        <v>104</v>
      </c>
      <c r="M42" s="3" t="s">
        <v>72</v>
      </c>
      <c r="N42" s="3" t="s">
        <v>565</v>
      </c>
      <c r="O42" s="3"/>
    </row>
    <row r="43" spans="1:15" ht="158.4" x14ac:dyDescent="0.3">
      <c r="A43" s="3" t="s">
        <v>384</v>
      </c>
      <c r="B43" s="3" t="s">
        <v>385</v>
      </c>
      <c r="C43" s="3" t="s">
        <v>246</v>
      </c>
      <c r="D43" s="3" t="s">
        <v>386</v>
      </c>
      <c r="E43" s="3" t="s">
        <v>387</v>
      </c>
      <c r="F43" s="3" t="s">
        <v>388</v>
      </c>
      <c r="G43" s="3" t="s">
        <v>174</v>
      </c>
      <c r="H43" s="3" t="s">
        <v>389</v>
      </c>
      <c r="I43" s="3" t="s">
        <v>69</v>
      </c>
      <c r="J43" s="3" t="s">
        <v>119</v>
      </c>
      <c r="K43" s="3" t="s">
        <v>390</v>
      </c>
      <c r="L43" s="3"/>
      <c r="M43" s="3" t="s">
        <v>391</v>
      </c>
      <c r="N43" s="3" t="s">
        <v>565</v>
      </c>
      <c r="O43" s="3"/>
    </row>
    <row r="44" spans="1:15" ht="158.4" x14ac:dyDescent="0.3">
      <c r="A44" s="3" t="s">
        <v>392</v>
      </c>
      <c r="B44" s="3" t="s">
        <v>393</v>
      </c>
      <c r="C44" s="3" t="s">
        <v>63</v>
      </c>
      <c r="D44" s="3" t="s">
        <v>393</v>
      </c>
      <c r="E44" s="3" t="s">
        <v>394</v>
      </c>
      <c r="F44" s="3" t="s">
        <v>395</v>
      </c>
      <c r="G44" s="3" t="s">
        <v>67</v>
      </c>
      <c r="H44" s="3" t="s">
        <v>68</v>
      </c>
      <c r="I44" s="3" t="s">
        <v>81</v>
      </c>
      <c r="J44" s="3" t="s">
        <v>70</v>
      </c>
      <c r="K44" s="3" t="s">
        <v>396</v>
      </c>
      <c r="L44" s="3"/>
      <c r="M44" s="3"/>
      <c r="N44" s="3" t="s">
        <v>565</v>
      </c>
      <c r="O44" s="3"/>
    </row>
    <row r="45" spans="1:15" ht="144" x14ac:dyDescent="0.3">
      <c r="A45" s="3" t="s">
        <v>397</v>
      </c>
      <c r="B45" s="3" t="s">
        <v>398</v>
      </c>
      <c r="C45" s="3" t="s">
        <v>63</v>
      </c>
      <c r="D45" s="3" t="s">
        <v>399</v>
      </c>
      <c r="E45" s="3" t="s">
        <v>400</v>
      </c>
      <c r="F45" s="3" t="s">
        <v>401</v>
      </c>
      <c r="G45" s="3" t="s">
        <v>67</v>
      </c>
      <c r="H45" s="3" t="s">
        <v>68</v>
      </c>
      <c r="I45" s="3" t="s">
        <v>69</v>
      </c>
      <c r="J45" s="3" t="s">
        <v>402</v>
      </c>
      <c r="K45" s="3" t="s">
        <v>403</v>
      </c>
      <c r="L45" s="3"/>
      <c r="M45" s="3" t="s">
        <v>404</v>
      </c>
      <c r="N45" s="3" t="s">
        <v>565</v>
      </c>
      <c r="O45" s="3"/>
    </row>
  </sheetData>
  <autoFilter ref="A1:O1000" xr:uid="{00000000-0009-0000-0000-000001000000}"/>
  <dataValidations count="3">
    <dataValidation type="list" allowBlank="1" errorTitle="Not an allowed value" error="Pick a value from the list." sqref="I2:I1000" xr:uid="{00000000-0002-0000-0100-000000000000}">
      <formula1>"UI,Functional,Data,Integration,Security,Accessibility,Performance,Content"</formula1>
    </dataValidation>
    <dataValidation type="list" allowBlank="1" errorTitle="Not an allowed value" error="Pick a value from the list." sqref="J2:J1000" xr:uid="{00000000-0002-0000-0100-000001000000}">
      <formula1>"Must,Should,Could,Won't"</formula1>
    </dataValidation>
    <dataValidation type="list" allowBlank="1" errorTitle="Not an allowed value" error="Pick a value from the list." sqref="N2:N1000" xr:uid="{00000000-0002-0000-0100-000002000000}">
      <formula1>"Candidate,Draft,In Review,Approved,Changed,On Hold,Out of Scope"</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
  <sheetViews>
    <sheetView workbookViewId="0">
      <pane xSplit="1" ySplit="1" topLeftCell="B2" activePane="bottomRight" state="frozen"/>
      <selection pane="topRight"/>
      <selection pane="bottomLeft"/>
      <selection pane="bottomRight"/>
    </sheetView>
  </sheetViews>
  <sheetFormatPr defaultRowHeight="14.4" x14ac:dyDescent="0.3"/>
  <cols>
    <col min="1" max="1" width="13" customWidth="1"/>
    <col min="2" max="2" width="30" customWidth="1"/>
    <col min="3" max="3" width="18" customWidth="1"/>
    <col min="4" max="4" width="70" customWidth="1"/>
    <col min="5" max="5" width="34" customWidth="1"/>
  </cols>
  <sheetData>
    <row r="1" spans="1:5" x14ac:dyDescent="0.3">
      <c r="A1" s="4" t="s">
        <v>405</v>
      </c>
      <c r="B1" s="4" t="s">
        <v>406</v>
      </c>
      <c r="C1" s="4" t="s">
        <v>407</v>
      </c>
      <c r="D1" s="4" t="s">
        <v>408</v>
      </c>
      <c r="E1" s="4" t="s">
        <v>409</v>
      </c>
    </row>
    <row r="2" spans="1:5" ht="144" x14ac:dyDescent="0.3">
      <c r="A2" s="3" t="s">
        <v>410</v>
      </c>
      <c r="B2" s="3" t="s">
        <v>411</v>
      </c>
      <c r="C2" s="3" t="s">
        <v>412</v>
      </c>
      <c r="D2" s="3" t="s">
        <v>413</v>
      </c>
      <c r="E2" s="3" t="s">
        <v>414</v>
      </c>
    </row>
    <row r="3" spans="1:5" ht="100.8" x14ac:dyDescent="0.3">
      <c r="A3" s="3" t="s">
        <v>415</v>
      </c>
      <c r="B3" s="3" t="s">
        <v>416</v>
      </c>
      <c r="C3" s="3" t="s">
        <v>417</v>
      </c>
      <c r="D3" s="3" t="s">
        <v>418</v>
      </c>
      <c r="E3" s="3" t="s">
        <v>419</v>
      </c>
    </row>
    <row r="4" spans="1:5" ht="86.4" x14ac:dyDescent="0.3">
      <c r="A4" s="3" t="s">
        <v>420</v>
      </c>
      <c r="B4" s="3" t="s">
        <v>421</v>
      </c>
      <c r="C4" s="3" t="s">
        <v>422</v>
      </c>
      <c r="D4" s="3" t="s">
        <v>423</v>
      </c>
      <c r="E4" s="3" t="s">
        <v>424</v>
      </c>
    </row>
  </sheetData>
  <autoFilter ref="A1:E1000"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2"/>
  <sheetViews>
    <sheetView workbookViewId="0">
      <pane xSplit="1" ySplit="1" topLeftCell="B15" activePane="bottomRight" state="frozen"/>
      <selection pane="topRight"/>
      <selection pane="bottomLeft"/>
      <selection pane="bottomRight" activeCell="E21" sqref="E21"/>
    </sheetView>
  </sheetViews>
  <sheetFormatPr defaultRowHeight="14.4" x14ac:dyDescent="0.3"/>
  <cols>
    <col min="1" max="1" width="8" customWidth="1"/>
    <col min="2" max="2" width="18" customWidth="1"/>
    <col min="3" max="3" width="22" customWidth="1"/>
    <col min="4" max="4" width="60" customWidth="1"/>
    <col min="5" max="5" width="36" customWidth="1"/>
    <col min="6" max="6" width="40" customWidth="1"/>
    <col min="7" max="7" width="16" customWidth="1"/>
    <col min="8" max="8" width="11" customWidth="1"/>
    <col min="9" max="9" width="40" customWidth="1"/>
  </cols>
  <sheetData>
    <row r="1" spans="1:9" x14ac:dyDescent="0.3">
      <c r="A1" s="4" t="s">
        <v>425</v>
      </c>
      <c r="B1" s="4" t="s">
        <v>426</v>
      </c>
      <c r="C1" s="4" t="s">
        <v>427</v>
      </c>
      <c r="D1" s="4" t="s">
        <v>428</v>
      </c>
      <c r="E1" s="4" t="s">
        <v>429</v>
      </c>
      <c r="F1" s="4" t="s">
        <v>430</v>
      </c>
      <c r="G1" s="4" t="s">
        <v>431</v>
      </c>
      <c r="H1" s="4" t="s">
        <v>38</v>
      </c>
      <c r="I1" s="4" t="s">
        <v>432</v>
      </c>
    </row>
    <row r="2" spans="1:9" ht="43.2" x14ac:dyDescent="0.3">
      <c r="A2" s="3" t="s">
        <v>433</v>
      </c>
      <c r="B2" s="3" t="s">
        <v>412</v>
      </c>
      <c r="C2" s="3" t="s">
        <v>434</v>
      </c>
      <c r="D2" s="3" t="s">
        <v>435</v>
      </c>
      <c r="E2" s="3" t="s">
        <v>436</v>
      </c>
      <c r="F2" s="3" t="s">
        <v>437</v>
      </c>
      <c r="G2" s="3" t="s">
        <v>438</v>
      </c>
      <c r="H2" s="3" t="s">
        <v>586</v>
      </c>
      <c r="I2" s="3" t="s">
        <v>440</v>
      </c>
    </row>
    <row r="3" spans="1:9" ht="28.8" x14ac:dyDescent="0.3">
      <c r="A3" s="3" t="s">
        <v>135</v>
      </c>
      <c r="B3" s="3" t="s">
        <v>129</v>
      </c>
      <c r="C3" s="3" t="s">
        <v>441</v>
      </c>
      <c r="D3" s="3" t="s">
        <v>442</v>
      </c>
      <c r="E3" s="3" t="s">
        <v>443</v>
      </c>
      <c r="F3" s="3" t="s">
        <v>444</v>
      </c>
      <c r="G3" s="3" t="s">
        <v>438</v>
      </c>
      <c r="H3" s="3" t="s">
        <v>587</v>
      </c>
      <c r="I3" s="3"/>
    </row>
    <row r="4" spans="1:9" ht="43.2" x14ac:dyDescent="0.3">
      <c r="A4" s="3" t="s">
        <v>72</v>
      </c>
      <c r="B4" s="3" t="s">
        <v>445</v>
      </c>
      <c r="C4" s="3" t="s">
        <v>446</v>
      </c>
      <c r="D4" s="3" t="s">
        <v>447</v>
      </c>
      <c r="E4" s="3" t="s">
        <v>448</v>
      </c>
      <c r="F4" s="3" t="s">
        <v>449</v>
      </c>
      <c r="G4" s="3" t="s">
        <v>450</v>
      </c>
      <c r="H4" s="3" t="s">
        <v>586</v>
      </c>
      <c r="I4" s="3" t="s">
        <v>588</v>
      </c>
    </row>
    <row r="5" spans="1:9" ht="43.2" x14ac:dyDescent="0.3">
      <c r="A5" s="3" t="s">
        <v>128</v>
      </c>
      <c r="B5" s="3" t="s">
        <v>451</v>
      </c>
      <c r="C5" s="3" t="s">
        <v>441</v>
      </c>
      <c r="D5" s="3" t="s">
        <v>452</v>
      </c>
      <c r="E5" s="3" t="s">
        <v>453</v>
      </c>
      <c r="F5" s="3" t="s">
        <v>454</v>
      </c>
      <c r="G5" s="3" t="s">
        <v>438</v>
      </c>
      <c r="H5" s="3" t="s">
        <v>586</v>
      </c>
      <c r="I5" s="3" t="s">
        <v>589</v>
      </c>
    </row>
    <row r="6" spans="1:9" ht="28.8" x14ac:dyDescent="0.3">
      <c r="A6" s="3" t="s">
        <v>404</v>
      </c>
      <c r="B6" s="3" t="s">
        <v>455</v>
      </c>
      <c r="C6" s="3" t="s">
        <v>345</v>
      </c>
      <c r="D6" s="3" t="s">
        <v>456</v>
      </c>
      <c r="E6" s="3" t="s">
        <v>457</v>
      </c>
      <c r="F6" s="3" t="s">
        <v>458</v>
      </c>
      <c r="G6" s="3" t="s">
        <v>438</v>
      </c>
      <c r="H6" s="3" t="s">
        <v>586</v>
      </c>
      <c r="I6" s="3" t="s">
        <v>590</v>
      </c>
    </row>
    <row r="7" spans="1:9" ht="28.8" x14ac:dyDescent="0.3">
      <c r="A7" s="3" t="s">
        <v>149</v>
      </c>
      <c r="B7" s="3" t="s">
        <v>459</v>
      </c>
      <c r="C7" s="3" t="s">
        <v>460</v>
      </c>
      <c r="D7" s="3" t="s">
        <v>461</v>
      </c>
      <c r="E7" s="3" t="s">
        <v>462</v>
      </c>
      <c r="F7" s="3" t="s">
        <v>463</v>
      </c>
      <c r="G7" s="3" t="s">
        <v>438</v>
      </c>
      <c r="H7" s="3" t="s">
        <v>586</v>
      </c>
      <c r="I7" s="3" t="s">
        <v>463</v>
      </c>
    </row>
    <row r="8" spans="1:9" ht="43.2" x14ac:dyDescent="0.3">
      <c r="A8" s="3" t="s">
        <v>112</v>
      </c>
      <c r="B8" s="3" t="s">
        <v>464</v>
      </c>
      <c r="C8" s="3" t="s">
        <v>171</v>
      </c>
      <c r="D8" s="3" t="s">
        <v>465</v>
      </c>
      <c r="E8" s="3" t="s">
        <v>466</v>
      </c>
      <c r="F8" s="3" t="s">
        <v>467</v>
      </c>
      <c r="G8" s="3" t="s">
        <v>438</v>
      </c>
      <c r="H8" s="3" t="s">
        <v>439</v>
      </c>
      <c r="I8" s="3"/>
    </row>
    <row r="9" spans="1:9" ht="28.8" x14ac:dyDescent="0.3">
      <c r="A9" s="3" t="s">
        <v>197</v>
      </c>
      <c r="B9" s="3" t="s">
        <v>468</v>
      </c>
      <c r="C9" s="3" t="s">
        <v>469</v>
      </c>
      <c r="D9" s="3" t="s">
        <v>470</v>
      </c>
      <c r="E9" s="3" t="s">
        <v>471</v>
      </c>
      <c r="F9" s="3" t="s">
        <v>472</v>
      </c>
      <c r="G9" s="3" t="s">
        <v>438</v>
      </c>
      <c r="H9" s="3" t="s">
        <v>439</v>
      </c>
      <c r="I9" s="3"/>
    </row>
    <row r="10" spans="1:9" ht="43.2" x14ac:dyDescent="0.3">
      <c r="A10" s="3" t="s">
        <v>473</v>
      </c>
      <c r="B10" s="3" t="s">
        <v>474</v>
      </c>
      <c r="C10" s="3" t="s">
        <v>469</v>
      </c>
      <c r="D10" s="3" t="s">
        <v>475</v>
      </c>
      <c r="E10" s="3" t="s">
        <v>476</v>
      </c>
      <c r="F10" s="3" t="s">
        <v>477</v>
      </c>
      <c r="G10" s="3" t="s">
        <v>438</v>
      </c>
      <c r="H10" s="3" t="s">
        <v>439</v>
      </c>
      <c r="I10" s="3"/>
    </row>
    <row r="11" spans="1:9" ht="43.2" x14ac:dyDescent="0.3">
      <c r="A11" s="3" t="s">
        <v>478</v>
      </c>
      <c r="B11" s="3" t="s">
        <v>215</v>
      </c>
      <c r="C11" s="3" t="s">
        <v>469</v>
      </c>
      <c r="D11" s="3" t="s">
        <v>479</v>
      </c>
      <c r="E11" s="3" t="s">
        <v>480</v>
      </c>
      <c r="F11" s="3" t="s">
        <v>481</v>
      </c>
      <c r="G11" s="3" t="s">
        <v>482</v>
      </c>
      <c r="H11" s="3" t="s">
        <v>439</v>
      </c>
      <c r="I11" s="3"/>
    </row>
    <row r="12" spans="1:9" ht="28.8" x14ac:dyDescent="0.3">
      <c r="A12" s="3" t="s">
        <v>274</v>
      </c>
      <c r="B12" s="3" t="s">
        <v>483</v>
      </c>
      <c r="C12" s="3" t="s">
        <v>469</v>
      </c>
      <c r="D12" s="3" t="s">
        <v>484</v>
      </c>
      <c r="E12" s="3" t="s">
        <v>485</v>
      </c>
      <c r="F12" s="3" t="s">
        <v>486</v>
      </c>
      <c r="G12" s="3" t="s">
        <v>438</v>
      </c>
      <c r="H12" s="3" t="s">
        <v>586</v>
      </c>
      <c r="I12" s="3" t="s">
        <v>591</v>
      </c>
    </row>
    <row r="13" spans="1:9" ht="28.8" x14ac:dyDescent="0.3">
      <c r="A13" s="3" t="s">
        <v>83</v>
      </c>
      <c r="B13" s="3" t="s">
        <v>74</v>
      </c>
      <c r="C13" s="3" t="s">
        <v>487</v>
      </c>
      <c r="D13" s="3" t="s">
        <v>488</v>
      </c>
      <c r="E13" s="3" t="s">
        <v>489</v>
      </c>
      <c r="F13" s="3" t="s">
        <v>458</v>
      </c>
      <c r="G13" s="3" t="s">
        <v>438</v>
      </c>
      <c r="H13" s="3" t="s">
        <v>586</v>
      </c>
      <c r="I13" s="3" t="s">
        <v>592</v>
      </c>
    </row>
    <row r="14" spans="1:9" ht="72" x14ac:dyDescent="0.3">
      <c r="A14" s="3" t="s">
        <v>204</v>
      </c>
      <c r="B14" s="3" t="s">
        <v>490</v>
      </c>
      <c r="C14" s="3" t="s">
        <v>491</v>
      </c>
      <c r="D14" s="3" t="s">
        <v>492</v>
      </c>
      <c r="E14" s="3" t="s">
        <v>493</v>
      </c>
      <c r="F14" s="3" t="s">
        <v>494</v>
      </c>
      <c r="G14" s="3" t="s">
        <v>438</v>
      </c>
      <c r="H14" s="3" t="s">
        <v>439</v>
      </c>
      <c r="I14" s="3"/>
    </row>
    <row r="15" spans="1:9" ht="28.8" x14ac:dyDescent="0.3">
      <c r="A15" s="3" t="s">
        <v>235</v>
      </c>
      <c r="B15" s="3" t="s">
        <v>229</v>
      </c>
      <c r="C15" s="3" t="s">
        <v>495</v>
      </c>
      <c r="D15" s="3" t="s">
        <v>496</v>
      </c>
      <c r="E15" s="3" t="s">
        <v>497</v>
      </c>
      <c r="F15" s="3" t="s">
        <v>498</v>
      </c>
      <c r="G15" s="3" t="s">
        <v>438</v>
      </c>
      <c r="H15" s="3" t="s">
        <v>439</v>
      </c>
      <c r="I15" s="3"/>
    </row>
    <row r="16" spans="1:9" ht="28.8" x14ac:dyDescent="0.3">
      <c r="A16" s="3" t="s">
        <v>311</v>
      </c>
      <c r="B16" s="3" t="s">
        <v>499</v>
      </c>
      <c r="C16" s="3" t="s">
        <v>500</v>
      </c>
      <c r="D16" s="3" t="s">
        <v>501</v>
      </c>
      <c r="E16" s="3" t="s">
        <v>502</v>
      </c>
      <c r="F16" s="3" t="s">
        <v>503</v>
      </c>
      <c r="G16" s="3" t="s">
        <v>438</v>
      </c>
      <c r="H16" s="3" t="s">
        <v>439</v>
      </c>
      <c r="I16" s="3"/>
    </row>
    <row r="17" spans="1:9" ht="43.2" x14ac:dyDescent="0.3">
      <c r="A17" s="3" t="s">
        <v>336</v>
      </c>
      <c r="B17" s="3" t="s">
        <v>504</v>
      </c>
      <c r="C17" s="3" t="s">
        <v>354</v>
      </c>
      <c r="D17" s="3" t="s">
        <v>505</v>
      </c>
      <c r="E17" s="3" t="s">
        <v>506</v>
      </c>
      <c r="F17" s="3" t="s">
        <v>507</v>
      </c>
      <c r="G17" s="3" t="s">
        <v>438</v>
      </c>
      <c r="H17" s="3" t="s">
        <v>439</v>
      </c>
      <c r="I17" s="3" t="s">
        <v>593</v>
      </c>
    </row>
    <row r="18" spans="1:9" ht="28.8" x14ac:dyDescent="0.3">
      <c r="A18" s="3" t="s">
        <v>391</v>
      </c>
      <c r="B18" s="3" t="s">
        <v>384</v>
      </c>
      <c r="C18" s="3" t="s">
        <v>385</v>
      </c>
      <c r="D18" s="3" t="s">
        <v>508</v>
      </c>
      <c r="E18" s="3" t="s">
        <v>509</v>
      </c>
      <c r="F18" s="3" t="s">
        <v>510</v>
      </c>
      <c r="G18" s="3" t="s">
        <v>438</v>
      </c>
      <c r="H18" s="3" t="s">
        <v>439</v>
      </c>
      <c r="I18" s="3"/>
    </row>
    <row r="19" spans="1:9" ht="28.8" x14ac:dyDescent="0.3">
      <c r="A19" s="3" t="s">
        <v>121</v>
      </c>
      <c r="B19" s="3" t="s">
        <v>511</v>
      </c>
      <c r="C19" s="3" t="s">
        <v>500</v>
      </c>
      <c r="D19" s="3" t="s">
        <v>512</v>
      </c>
      <c r="E19" s="3" t="s">
        <v>513</v>
      </c>
      <c r="F19" s="3" t="s">
        <v>514</v>
      </c>
      <c r="G19" s="3" t="s">
        <v>438</v>
      </c>
      <c r="H19" s="3" t="s">
        <v>439</v>
      </c>
      <c r="I19" s="3"/>
    </row>
    <row r="20" spans="1:9" ht="28.8" x14ac:dyDescent="0.3">
      <c r="A20" s="3" t="s">
        <v>515</v>
      </c>
      <c r="B20" s="3" t="s">
        <v>516</v>
      </c>
      <c r="C20" s="3" t="s">
        <v>500</v>
      </c>
      <c r="D20" s="3" t="s">
        <v>517</v>
      </c>
      <c r="E20" s="3" t="s">
        <v>518</v>
      </c>
      <c r="F20" s="3" t="s">
        <v>519</v>
      </c>
      <c r="G20" s="3" t="s">
        <v>438</v>
      </c>
      <c r="H20" s="3" t="s">
        <v>439</v>
      </c>
      <c r="I20" s="3"/>
    </row>
    <row r="21" spans="1:9" ht="28.8" x14ac:dyDescent="0.3">
      <c r="A21" s="3" t="s">
        <v>520</v>
      </c>
      <c r="B21" s="3" t="s">
        <v>521</v>
      </c>
      <c r="C21" s="3" t="s">
        <v>469</v>
      </c>
      <c r="D21" s="3" t="s">
        <v>522</v>
      </c>
      <c r="E21" s="3" t="s">
        <v>523</v>
      </c>
      <c r="F21" s="3" t="s">
        <v>524</v>
      </c>
      <c r="G21" s="3" t="s">
        <v>438</v>
      </c>
      <c r="H21" s="3" t="s">
        <v>439</v>
      </c>
      <c r="I21" s="3"/>
    </row>
    <row r="22" spans="1:9" ht="43.2" x14ac:dyDescent="0.3">
      <c r="A22" s="3" t="s">
        <v>525</v>
      </c>
      <c r="B22" s="3" t="s">
        <v>526</v>
      </c>
      <c r="C22" s="3" t="s">
        <v>469</v>
      </c>
      <c r="D22" s="3" t="s">
        <v>527</v>
      </c>
      <c r="E22" s="3" t="s">
        <v>528</v>
      </c>
      <c r="F22" s="3" t="s">
        <v>529</v>
      </c>
      <c r="G22" s="3" t="s">
        <v>438</v>
      </c>
      <c r="H22" s="3" t="s">
        <v>439</v>
      </c>
      <c r="I22" s="3"/>
    </row>
  </sheetData>
  <autoFilter ref="A1:I1000" xr:uid="{00000000-0009-0000-0000-000003000000}"/>
  <dataValidations count="1">
    <dataValidation type="list" allowBlank="1" errorTitle="Not an allowed value" error="Pick a value from the list." sqref="H2:H1000" xr:uid="{00000000-0002-0000-0300-000000000000}">
      <formula1>"Open,Answered,Closed"</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
  <sheetViews>
    <sheetView workbookViewId="0">
      <pane xSplit="1" ySplit="1" topLeftCell="B2" activePane="bottomRight" state="frozen"/>
      <selection pane="topRight"/>
      <selection pane="bottomLeft"/>
      <selection pane="bottomRight"/>
    </sheetView>
  </sheetViews>
  <sheetFormatPr defaultRowHeight="14.4" x14ac:dyDescent="0.3"/>
  <cols>
    <col min="1" max="1" width="10" customWidth="1"/>
    <col min="2" max="2" width="13" customWidth="1"/>
    <col min="3" max="3" width="34" customWidth="1"/>
    <col min="4" max="4" width="48" customWidth="1"/>
    <col min="5" max="5" width="18" customWidth="1"/>
    <col min="6" max="6" width="12" customWidth="1"/>
    <col min="7" max="7" width="36" customWidth="1"/>
  </cols>
  <sheetData>
    <row r="1" spans="1:7" x14ac:dyDescent="0.3">
      <c r="A1" s="4" t="s">
        <v>530</v>
      </c>
      <c r="B1" s="4" t="s">
        <v>50</v>
      </c>
      <c r="C1" s="4" t="s">
        <v>531</v>
      </c>
      <c r="D1" s="4" t="s">
        <v>532</v>
      </c>
      <c r="E1" s="4" t="s">
        <v>533</v>
      </c>
      <c r="F1" s="4" t="s">
        <v>38</v>
      </c>
      <c r="G1" s="4" t="s">
        <v>534</v>
      </c>
    </row>
    <row r="2" spans="1:7" ht="43.2" x14ac:dyDescent="0.3">
      <c r="A2" s="3" t="s">
        <v>104</v>
      </c>
      <c r="B2" s="3" t="s">
        <v>420</v>
      </c>
      <c r="C2" s="3" t="s">
        <v>535</v>
      </c>
      <c r="D2" s="3"/>
      <c r="E2" s="3" t="s">
        <v>536</v>
      </c>
      <c r="F2" s="3" t="s">
        <v>537</v>
      </c>
      <c r="G2" s="3" t="s">
        <v>538</v>
      </c>
    </row>
    <row r="3" spans="1:7" ht="43.2" x14ac:dyDescent="0.3">
      <c r="A3" s="3" t="s">
        <v>335</v>
      </c>
      <c r="B3" s="3" t="s">
        <v>327</v>
      </c>
      <c r="C3" s="3" t="s">
        <v>539</v>
      </c>
      <c r="D3" s="3"/>
      <c r="E3" s="3" t="s">
        <v>438</v>
      </c>
      <c r="F3" s="3" t="s">
        <v>537</v>
      </c>
      <c r="G3" s="3" t="s">
        <v>540</v>
      </c>
    </row>
    <row r="4" spans="1:7" ht="43.2" x14ac:dyDescent="0.3">
      <c r="A4" s="3" t="s">
        <v>298</v>
      </c>
      <c r="B4" s="3" t="s">
        <v>353</v>
      </c>
      <c r="C4" s="3" t="s">
        <v>541</v>
      </c>
      <c r="D4" s="3"/>
      <c r="E4" s="3" t="s">
        <v>438</v>
      </c>
      <c r="F4" s="3" t="s">
        <v>537</v>
      </c>
      <c r="G4" s="3" t="s">
        <v>542</v>
      </c>
    </row>
    <row r="5" spans="1:7" ht="28.8" x14ac:dyDescent="0.3">
      <c r="A5" s="3" t="s">
        <v>310</v>
      </c>
      <c r="B5" s="3" t="s">
        <v>300</v>
      </c>
      <c r="C5" s="3" t="s">
        <v>543</v>
      </c>
      <c r="D5" s="3"/>
      <c r="E5" s="3" t="s">
        <v>536</v>
      </c>
      <c r="F5" s="3" t="s">
        <v>537</v>
      </c>
      <c r="G5" s="3" t="s">
        <v>544</v>
      </c>
    </row>
  </sheetData>
  <autoFilter ref="A1:G1000" xr:uid="{00000000-0009-0000-0000-000004000000}"/>
  <dataValidations count="1">
    <dataValidation type="list" allowBlank="1" errorTitle="Not an allowed value" error="Pick a value from the list." sqref="F2:F1000" xr:uid="{00000000-0002-0000-0400-000000000000}">
      <formula1>"Awaiting,Received,Not Needed"</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
  <sheetViews>
    <sheetView workbookViewId="0">
      <pane xSplit="1" ySplit="1" topLeftCell="B2" activePane="bottomRight" state="frozen"/>
      <selection pane="topRight"/>
      <selection pane="bottomLeft"/>
      <selection pane="bottomRight"/>
    </sheetView>
  </sheetViews>
  <sheetFormatPr defaultRowHeight="14.4" x14ac:dyDescent="0.3"/>
  <cols>
    <col min="1" max="2" width="13" customWidth="1"/>
    <col min="3" max="3" width="9" customWidth="1"/>
    <col min="4" max="4" width="24" customWidth="1"/>
    <col min="5" max="5" width="20" customWidth="1"/>
    <col min="6" max="6" width="36" customWidth="1"/>
    <col min="7" max="7" width="13" customWidth="1"/>
    <col min="8" max="8" width="28" customWidth="1"/>
    <col min="9" max="9" width="48" customWidth="1"/>
    <col min="10" max="10" width="36" customWidth="1"/>
    <col min="11" max="11" width="10" customWidth="1"/>
    <col min="12" max="12" width="11" customWidth="1"/>
    <col min="13" max="13" width="30" customWidth="1"/>
    <col min="14" max="14" width="12" customWidth="1"/>
  </cols>
  <sheetData>
    <row r="1" spans="1:14" ht="28.8" x14ac:dyDescent="0.3">
      <c r="A1" s="4" t="s">
        <v>545</v>
      </c>
      <c r="B1" s="4" t="s">
        <v>50</v>
      </c>
      <c r="C1" s="4" t="s">
        <v>546</v>
      </c>
      <c r="D1" s="4" t="s">
        <v>53</v>
      </c>
      <c r="E1" s="4" t="s">
        <v>56</v>
      </c>
      <c r="F1" s="4" t="s">
        <v>547</v>
      </c>
      <c r="G1" s="4" t="s">
        <v>40</v>
      </c>
      <c r="H1" s="4" t="s">
        <v>548</v>
      </c>
      <c r="I1" s="4" t="s">
        <v>549</v>
      </c>
      <c r="J1" s="4" t="s">
        <v>550</v>
      </c>
      <c r="K1" s="4" t="s">
        <v>551</v>
      </c>
      <c r="L1" s="4" t="s">
        <v>38</v>
      </c>
      <c r="M1" s="4" t="s">
        <v>261</v>
      </c>
      <c r="N1" s="4" t="s">
        <v>552</v>
      </c>
    </row>
  </sheetData>
  <autoFilter ref="A1:N1000" xr:uid="{00000000-0009-0000-0000-000005000000}"/>
  <dataValidations count="2">
    <dataValidation type="list" allowBlank="1" errorTitle="Not an allowed value" error="Pick a value from the list." sqref="G2:G1000" xr:uid="{00000000-0002-0000-0500-000000000000}">
      <formula1>"Positive,Negative,Edge,Boundary,Stress,Accessibility,UI"</formula1>
    </dataValidation>
    <dataValidation type="list" allowBlank="1" errorTitle="Not an allowed value" error="Pick a value from the list." sqref="L2:L1000" xr:uid="{00000000-0002-0000-0500-000001000000}">
      <formula1>"Not Run,Pass,Fail,Blocked"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34"/>
  <sheetViews>
    <sheetView workbookViewId="0"/>
  </sheetViews>
  <sheetFormatPr defaultRowHeight="14.4" x14ac:dyDescent="0.3"/>
  <cols>
    <col min="1" max="1" width="26" customWidth="1"/>
    <col min="2" max="2" width="12" customWidth="1"/>
    <col min="3" max="3" width="11" customWidth="1"/>
    <col min="4" max="7" width="10" customWidth="1"/>
    <col min="8" max="8" width="11" customWidth="1"/>
  </cols>
  <sheetData>
    <row r="1" spans="1:8" ht="18" x14ac:dyDescent="0.35">
      <c r="A1" s="1" t="s">
        <v>553</v>
      </c>
    </row>
    <row r="3" spans="1:8" x14ac:dyDescent="0.3">
      <c r="A3" s="5" t="s">
        <v>56</v>
      </c>
      <c r="B3" s="5" t="s">
        <v>25</v>
      </c>
      <c r="C3" s="5" t="s">
        <v>554</v>
      </c>
      <c r="D3" s="5" t="s">
        <v>555</v>
      </c>
      <c r="E3" s="5" t="s">
        <v>556</v>
      </c>
      <c r="F3" s="5" t="s">
        <v>557</v>
      </c>
      <c r="G3" s="5" t="s">
        <v>558</v>
      </c>
      <c r="H3" s="5" t="s">
        <v>559</v>
      </c>
    </row>
    <row r="4" spans="1:8" x14ac:dyDescent="0.3">
      <c r="A4" t="s">
        <v>67</v>
      </c>
      <c r="B4">
        <f>COUNTIF('Test Cases'!$E:$E,A4)</f>
        <v>0</v>
      </c>
      <c r="C4">
        <f t="shared" ref="C4:C18" si="0">B4-G4</f>
        <v>0</v>
      </c>
      <c r="D4">
        <f>COUNTIFS('Test Cases'!$E:$E,A4,'Test Cases'!$L:$L,"Pass")</f>
        <v>0</v>
      </c>
      <c r="E4">
        <f>COUNTIFS('Test Cases'!$E:$E,A4,'Test Cases'!$L:$L,"Fail")</f>
        <v>0</v>
      </c>
      <c r="F4">
        <f>COUNTIFS('Test Cases'!$E:$E,A4,'Test Cases'!$L:$L,"Blocked")</f>
        <v>0</v>
      </c>
      <c r="G4">
        <f>COUNTIFS('Test Cases'!$E:$E,A4,'Test Cases'!$L:$L,"Not Run")</f>
        <v>0</v>
      </c>
      <c r="H4" s="6" t="str">
        <f t="shared" ref="H4:H19" si="1">IF(C4=0,"",D4/C4)</f>
        <v/>
      </c>
    </row>
    <row r="5" spans="1:8" x14ac:dyDescent="0.3">
      <c r="A5" t="s">
        <v>79</v>
      </c>
      <c r="B5">
        <f>COUNTIF('Test Cases'!$E:$E,A5)</f>
        <v>0</v>
      </c>
      <c r="C5">
        <f t="shared" si="0"/>
        <v>0</v>
      </c>
      <c r="D5">
        <f>COUNTIFS('Test Cases'!$E:$E,A5,'Test Cases'!$L:$L,"Pass")</f>
        <v>0</v>
      </c>
      <c r="E5">
        <f>COUNTIFS('Test Cases'!$E:$E,A5,'Test Cases'!$L:$L,"Fail")</f>
        <v>0</v>
      </c>
      <c r="F5">
        <f>COUNTIFS('Test Cases'!$E:$E,A5,'Test Cases'!$L:$L,"Blocked")</f>
        <v>0</v>
      </c>
      <c r="G5">
        <f>COUNTIFS('Test Cases'!$E:$E,A5,'Test Cases'!$L:$L,"Not Run")</f>
        <v>0</v>
      </c>
      <c r="H5" s="6" t="str">
        <f t="shared" si="1"/>
        <v/>
      </c>
    </row>
    <row r="6" spans="1:8" x14ac:dyDescent="0.3">
      <c r="A6" t="s">
        <v>95</v>
      </c>
      <c r="B6">
        <f>COUNTIF('Test Cases'!$E:$E,A6)</f>
        <v>0</v>
      </c>
      <c r="C6">
        <f t="shared" si="0"/>
        <v>0</v>
      </c>
      <c r="D6">
        <f>COUNTIFS('Test Cases'!$E:$E,A6,'Test Cases'!$L:$L,"Pass")</f>
        <v>0</v>
      </c>
      <c r="E6">
        <f>COUNTIFS('Test Cases'!$E:$E,A6,'Test Cases'!$L:$L,"Fail")</f>
        <v>0</v>
      </c>
      <c r="F6">
        <f>COUNTIFS('Test Cases'!$E:$E,A6,'Test Cases'!$L:$L,"Blocked")</f>
        <v>0</v>
      </c>
      <c r="G6">
        <f>COUNTIFS('Test Cases'!$E:$E,A6,'Test Cases'!$L:$L,"Not Run")</f>
        <v>0</v>
      </c>
      <c r="H6" s="6" t="str">
        <f t="shared" si="1"/>
        <v/>
      </c>
    </row>
    <row r="7" spans="1:8" x14ac:dyDescent="0.3">
      <c r="A7" t="s">
        <v>146</v>
      </c>
      <c r="B7">
        <f>COUNTIF('Test Cases'!$E:$E,A7)</f>
        <v>0</v>
      </c>
      <c r="C7">
        <f t="shared" si="0"/>
        <v>0</v>
      </c>
      <c r="D7">
        <f>COUNTIFS('Test Cases'!$E:$E,A7,'Test Cases'!$L:$L,"Pass")</f>
        <v>0</v>
      </c>
      <c r="E7">
        <f>COUNTIFS('Test Cases'!$E:$E,A7,'Test Cases'!$L:$L,"Fail")</f>
        <v>0</v>
      </c>
      <c r="F7">
        <f>COUNTIFS('Test Cases'!$E:$E,A7,'Test Cases'!$L:$L,"Blocked")</f>
        <v>0</v>
      </c>
      <c r="G7">
        <f>COUNTIFS('Test Cases'!$E:$E,A7,'Test Cases'!$L:$L,"Not Run")</f>
        <v>0</v>
      </c>
      <c r="H7" s="6" t="str">
        <f t="shared" si="1"/>
        <v/>
      </c>
    </row>
    <row r="8" spans="1:8" x14ac:dyDescent="0.3">
      <c r="A8" t="s">
        <v>174</v>
      </c>
      <c r="B8">
        <f>COUNTIF('Test Cases'!$E:$E,A8)</f>
        <v>0</v>
      </c>
      <c r="C8">
        <f t="shared" si="0"/>
        <v>0</v>
      </c>
      <c r="D8">
        <f>COUNTIFS('Test Cases'!$E:$E,A8,'Test Cases'!$L:$L,"Pass")</f>
        <v>0</v>
      </c>
      <c r="E8">
        <f>COUNTIFS('Test Cases'!$E:$E,A8,'Test Cases'!$L:$L,"Fail")</f>
        <v>0</v>
      </c>
      <c r="F8">
        <f>COUNTIFS('Test Cases'!$E:$E,A8,'Test Cases'!$L:$L,"Blocked")</f>
        <v>0</v>
      </c>
      <c r="G8">
        <f>COUNTIFS('Test Cases'!$E:$E,A8,'Test Cases'!$L:$L,"Not Run")</f>
        <v>0</v>
      </c>
      <c r="H8" s="6" t="str">
        <f t="shared" si="1"/>
        <v/>
      </c>
    </row>
    <row r="9" spans="1:8" x14ac:dyDescent="0.3">
      <c r="A9" t="s">
        <v>211</v>
      </c>
      <c r="B9">
        <f>COUNTIF('Test Cases'!$E:$E,A9)</f>
        <v>0</v>
      </c>
      <c r="C9">
        <f t="shared" si="0"/>
        <v>0</v>
      </c>
      <c r="D9">
        <f>COUNTIFS('Test Cases'!$E:$E,A9,'Test Cases'!$L:$L,"Pass")</f>
        <v>0</v>
      </c>
      <c r="E9">
        <f>COUNTIFS('Test Cases'!$E:$E,A9,'Test Cases'!$L:$L,"Fail")</f>
        <v>0</v>
      </c>
      <c r="F9">
        <f>COUNTIFS('Test Cases'!$E:$E,A9,'Test Cases'!$L:$L,"Blocked")</f>
        <v>0</v>
      </c>
      <c r="G9">
        <f>COUNTIFS('Test Cases'!$E:$E,A9,'Test Cases'!$L:$L,"Not Run")</f>
        <v>0</v>
      </c>
      <c r="H9" s="6" t="str">
        <f t="shared" si="1"/>
        <v/>
      </c>
    </row>
    <row r="10" spans="1:8" x14ac:dyDescent="0.3">
      <c r="A10" t="s">
        <v>241</v>
      </c>
      <c r="B10">
        <f>COUNTIF('Test Cases'!$E:$E,A10)</f>
        <v>0</v>
      </c>
      <c r="C10">
        <f t="shared" si="0"/>
        <v>0</v>
      </c>
      <c r="D10">
        <f>COUNTIFS('Test Cases'!$E:$E,A10,'Test Cases'!$L:$L,"Pass")</f>
        <v>0</v>
      </c>
      <c r="E10">
        <f>COUNTIFS('Test Cases'!$E:$E,A10,'Test Cases'!$L:$L,"Fail")</f>
        <v>0</v>
      </c>
      <c r="F10">
        <f>COUNTIFS('Test Cases'!$E:$E,A10,'Test Cases'!$L:$L,"Blocked")</f>
        <v>0</v>
      </c>
      <c r="G10">
        <f>COUNTIFS('Test Cases'!$E:$E,A10,'Test Cases'!$L:$L,"Not Run")</f>
        <v>0</v>
      </c>
      <c r="H10" s="6" t="str">
        <f t="shared" si="1"/>
        <v/>
      </c>
    </row>
    <row r="11" spans="1:8" x14ac:dyDescent="0.3">
      <c r="A11" t="s">
        <v>306</v>
      </c>
      <c r="B11">
        <f>COUNTIF('Test Cases'!$E:$E,A11)</f>
        <v>0</v>
      </c>
      <c r="C11">
        <f t="shared" si="0"/>
        <v>0</v>
      </c>
      <c r="D11">
        <f>COUNTIFS('Test Cases'!$E:$E,A11,'Test Cases'!$L:$L,"Pass")</f>
        <v>0</v>
      </c>
      <c r="E11">
        <f>COUNTIFS('Test Cases'!$E:$E,A11,'Test Cases'!$L:$L,"Fail")</f>
        <v>0</v>
      </c>
      <c r="F11">
        <f>COUNTIFS('Test Cases'!$E:$E,A11,'Test Cases'!$L:$L,"Blocked")</f>
        <v>0</v>
      </c>
      <c r="G11">
        <f>COUNTIFS('Test Cases'!$E:$E,A11,'Test Cases'!$L:$L,"Not Run")</f>
        <v>0</v>
      </c>
      <c r="H11" s="6" t="str">
        <f t="shared" si="1"/>
        <v/>
      </c>
    </row>
    <row r="12" spans="1:8" x14ac:dyDescent="0.3">
      <c r="A12" t="s">
        <v>318</v>
      </c>
      <c r="B12">
        <f>COUNTIF('Test Cases'!$E:$E,A12)</f>
        <v>0</v>
      </c>
      <c r="C12">
        <f t="shared" si="0"/>
        <v>0</v>
      </c>
      <c r="D12">
        <f>COUNTIFS('Test Cases'!$E:$E,A12,'Test Cases'!$L:$L,"Pass")</f>
        <v>0</v>
      </c>
      <c r="E12">
        <f>COUNTIFS('Test Cases'!$E:$E,A12,'Test Cases'!$L:$L,"Fail")</f>
        <v>0</v>
      </c>
      <c r="F12">
        <f>COUNTIFS('Test Cases'!$E:$E,A12,'Test Cases'!$L:$L,"Blocked")</f>
        <v>0</v>
      </c>
      <c r="G12">
        <f>COUNTIFS('Test Cases'!$E:$E,A12,'Test Cases'!$L:$L,"Not Run")</f>
        <v>0</v>
      </c>
      <c r="H12" s="6" t="str">
        <f t="shared" si="1"/>
        <v/>
      </c>
    </row>
    <row r="13" spans="1:8" x14ac:dyDescent="0.3">
      <c r="A13" t="s">
        <v>325</v>
      </c>
      <c r="B13">
        <f>COUNTIF('Test Cases'!$E:$E,A13)</f>
        <v>0</v>
      </c>
      <c r="C13">
        <f t="shared" si="0"/>
        <v>0</v>
      </c>
      <c r="D13">
        <f>COUNTIFS('Test Cases'!$E:$E,A13,'Test Cases'!$L:$L,"Pass")</f>
        <v>0</v>
      </c>
      <c r="E13">
        <f>COUNTIFS('Test Cases'!$E:$E,A13,'Test Cases'!$L:$L,"Fail")</f>
        <v>0</v>
      </c>
      <c r="F13">
        <f>COUNTIFS('Test Cases'!$E:$E,A13,'Test Cases'!$L:$L,"Blocked")</f>
        <v>0</v>
      </c>
      <c r="G13">
        <f>COUNTIFS('Test Cases'!$E:$E,A13,'Test Cases'!$L:$L,"Not Run")</f>
        <v>0</v>
      </c>
      <c r="H13" s="6" t="str">
        <f t="shared" si="1"/>
        <v/>
      </c>
    </row>
    <row r="14" spans="1:8" x14ac:dyDescent="0.3">
      <c r="A14" t="s">
        <v>332</v>
      </c>
      <c r="B14">
        <f>COUNTIF('Test Cases'!$E:$E,A14)</f>
        <v>0</v>
      </c>
      <c r="C14">
        <f t="shared" si="0"/>
        <v>0</v>
      </c>
      <c r="D14">
        <f>COUNTIFS('Test Cases'!$E:$E,A14,'Test Cases'!$L:$L,"Pass")</f>
        <v>0</v>
      </c>
      <c r="E14">
        <f>COUNTIFS('Test Cases'!$E:$E,A14,'Test Cases'!$L:$L,"Fail")</f>
        <v>0</v>
      </c>
      <c r="F14">
        <f>COUNTIFS('Test Cases'!$E:$E,A14,'Test Cases'!$L:$L,"Blocked")</f>
        <v>0</v>
      </c>
      <c r="G14">
        <f>COUNTIFS('Test Cases'!$E:$E,A14,'Test Cases'!$L:$L,"Not Run")</f>
        <v>0</v>
      </c>
      <c r="H14" s="6" t="str">
        <f t="shared" si="1"/>
        <v/>
      </c>
    </row>
    <row r="15" spans="1:8" x14ac:dyDescent="0.3">
      <c r="A15" t="s">
        <v>349</v>
      </c>
      <c r="B15">
        <f>COUNTIF('Test Cases'!$E:$E,A15)</f>
        <v>0</v>
      </c>
      <c r="C15">
        <f t="shared" si="0"/>
        <v>0</v>
      </c>
      <c r="D15">
        <f>COUNTIFS('Test Cases'!$E:$E,A15,'Test Cases'!$L:$L,"Pass")</f>
        <v>0</v>
      </c>
      <c r="E15">
        <f>COUNTIFS('Test Cases'!$E:$E,A15,'Test Cases'!$L:$L,"Fail")</f>
        <v>0</v>
      </c>
      <c r="F15">
        <f>COUNTIFS('Test Cases'!$E:$E,A15,'Test Cases'!$L:$L,"Blocked")</f>
        <v>0</v>
      </c>
      <c r="G15">
        <f>COUNTIFS('Test Cases'!$E:$E,A15,'Test Cases'!$L:$L,"Not Run")</f>
        <v>0</v>
      </c>
      <c r="H15" s="6" t="str">
        <f t="shared" si="1"/>
        <v/>
      </c>
    </row>
    <row r="16" spans="1:8" x14ac:dyDescent="0.3">
      <c r="A16" t="s">
        <v>412</v>
      </c>
      <c r="B16">
        <f>COUNTIF('Test Cases'!$E:$E,A16)</f>
        <v>0</v>
      </c>
      <c r="C16">
        <f t="shared" si="0"/>
        <v>0</v>
      </c>
      <c r="D16">
        <f>COUNTIFS('Test Cases'!$E:$E,A16,'Test Cases'!$L:$L,"Pass")</f>
        <v>0</v>
      </c>
      <c r="E16">
        <f>COUNTIFS('Test Cases'!$E:$E,A16,'Test Cases'!$L:$L,"Fail")</f>
        <v>0</v>
      </c>
      <c r="F16">
        <f>COUNTIFS('Test Cases'!$E:$E,A16,'Test Cases'!$L:$L,"Blocked")</f>
        <v>0</v>
      </c>
      <c r="G16">
        <f>COUNTIFS('Test Cases'!$E:$E,A16,'Test Cases'!$L:$L,"Not Run")</f>
        <v>0</v>
      </c>
      <c r="H16" s="6" t="str">
        <f t="shared" si="1"/>
        <v/>
      </c>
    </row>
    <row r="17" spans="1:8" x14ac:dyDescent="0.3">
      <c r="A17" t="s">
        <v>417</v>
      </c>
      <c r="B17">
        <f>COUNTIF('Test Cases'!$E:$E,A17)</f>
        <v>0</v>
      </c>
      <c r="C17">
        <f t="shared" si="0"/>
        <v>0</v>
      </c>
      <c r="D17">
        <f>COUNTIFS('Test Cases'!$E:$E,A17,'Test Cases'!$L:$L,"Pass")</f>
        <v>0</v>
      </c>
      <c r="E17">
        <f>COUNTIFS('Test Cases'!$E:$E,A17,'Test Cases'!$L:$L,"Fail")</f>
        <v>0</v>
      </c>
      <c r="F17">
        <f>COUNTIFS('Test Cases'!$E:$E,A17,'Test Cases'!$L:$L,"Blocked")</f>
        <v>0</v>
      </c>
      <c r="G17">
        <f>COUNTIFS('Test Cases'!$E:$E,A17,'Test Cases'!$L:$L,"Not Run")</f>
        <v>0</v>
      </c>
      <c r="H17" s="6" t="str">
        <f t="shared" si="1"/>
        <v/>
      </c>
    </row>
    <row r="18" spans="1:8" x14ac:dyDescent="0.3">
      <c r="A18" t="s">
        <v>422</v>
      </c>
      <c r="B18">
        <f>COUNTIF('Test Cases'!$E:$E,A18)</f>
        <v>0</v>
      </c>
      <c r="C18">
        <f t="shared" si="0"/>
        <v>0</v>
      </c>
      <c r="D18">
        <f>COUNTIFS('Test Cases'!$E:$E,A18,'Test Cases'!$L:$L,"Pass")</f>
        <v>0</v>
      </c>
      <c r="E18">
        <f>COUNTIFS('Test Cases'!$E:$E,A18,'Test Cases'!$L:$L,"Fail")</f>
        <v>0</v>
      </c>
      <c r="F18">
        <f>COUNTIFS('Test Cases'!$E:$E,A18,'Test Cases'!$L:$L,"Blocked")</f>
        <v>0</v>
      </c>
      <c r="G18">
        <f>COUNTIFS('Test Cases'!$E:$E,A18,'Test Cases'!$L:$L,"Not Run")</f>
        <v>0</v>
      </c>
      <c r="H18" s="6" t="str">
        <f t="shared" si="1"/>
        <v/>
      </c>
    </row>
    <row r="19" spans="1:8" x14ac:dyDescent="0.3">
      <c r="A19" s="2" t="s">
        <v>560</v>
      </c>
      <c r="B19" s="2">
        <f t="shared" ref="B19:G19" si="2">SUM(B4:B18)</f>
        <v>0</v>
      </c>
      <c r="C19" s="2">
        <f t="shared" si="2"/>
        <v>0</v>
      </c>
      <c r="D19" s="2">
        <f t="shared" si="2"/>
        <v>0</v>
      </c>
      <c r="E19" s="2">
        <f t="shared" si="2"/>
        <v>0</v>
      </c>
      <c r="F19" s="2">
        <f t="shared" si="2"/>
        <v>0</v>
      </c>
      <c r="G19" s="2">
        <f t="shared" si="2"/>
        <v>0</v>
      </c>
      <c r="H19" s="6" t="str">
        <f t="shared" si="1"/>
        <v/>
      </c>
    </row>
    <row r="22" spans="1:8" ht="18" x14ac:dyDescent="0.35">
      <c r="A22" s="1" t="s">
        <v>561</v>
      </c>
    </row>
    <row r="24" spans="1:8" x14ac:dyDescent="0.3">
      <c r="A24" s="5" t="s">
        <v>38</v>
      </c>
      <c r="B24" s="5" t="s">
        <v>562</v>
      </c>
    </row>
    <row r="25" spans="1:8" x14ac:dyDescent="0.3">
      <c r="A25" t="s">
        <v>563</v>
      </c>
      <c r="B25">
        <f>COUNTIF('Acceptance Criteria'!$N:$N,A25)</f>
        <v>0</v>
      </c>
    </row>
    <row r="26" spans="1:8" x14ac:dyDescent="0.3">
      <c r="A26" t="s">
        <v>73</v>
      </c>
      <c r="B26">
        <f>COUNTIF('Acceptance Criteria'!$N:$N,A26)</f>
        <v>0</v>
      </c>
    </row>
    <row r="27" spans="1:8" x14ac:dyDescent="0.3">
      <c r="A27" t="s">
        <v>564</v>
      </c>
      <c r="B27">
        <f>COUNTIF('Acceptance Criteria'!$N:$N,A27)</f>
        <v>0</v>
      </c>
    </row>
    <row r="28" spans="1:8" x14ac:dyDescent="0.3">
      <c r="A28" t="s">
        <v>565</v>
      </c>
      <c r="B28">
        <f>COUNTIF('Acceptance Criteria'!$N:$N,A28)</f>
        <v>44</v>
      </c>
    </row>
    <row r="29" spans="1:8" x14ac:dyDescent="0.3">
      <c r="A29" t="s">
        <v>566</v>
      </c>
      <c r="B29">
        <f>COUNTIF('Acceptance Criteria'!$N:$N,A29)</f>
        <v>0</v>
      </c>
    </row>
    <row r="30" spans="1:8" x14ac:dyDescent="0.3">
      <c r="A30" t="s">
        <v>567</v>
      </c>
      <c r="B30">
        <f>COUNTIF('Acceptance Criteria'!$N:$N,A30)</f>
        <v>0</v>
      </c>
    </row>
    <row r="31" spans="1:8" x14ac:dyDescent="0.3">
      <c r="A31" t="s">
        <v>568</v>
      </c>
      <c r="B31">
        <f>COUNTIF('Acceptance Criteria'!$N:$N,A31)</f>
        <v>0</v>
      </c>
    </row>
    <row r="33" spans="1:2" x14ac:dyDescent="0.3">
      <c r="A33" s="2" t="s">
        <v>569</v>
      </c>
      <c r="B33">
        <f>SUMPRODUCT(('Acceptance Criteria'!$A$2:$A$1000&lt;&gt;"")*((('Acceptance Criteria'!$N$2:$N$1000="Approved")+('Acceptance Criteria'!$N$2:$N$1000="Changed"))&gt;0)*(COUNTIF('Test Cases'!$B$2:$B$1000,'Acceptance Criteria'!$A$2:$A$1000)=0))</f>
        <v>44</v>
      </c>
    </row>
    <row r="34" spans="1:2" x14ac:dyDescent="0.3">
      <c r="A34" s="7" t="s">
        <v>570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5"/>
  <sheetViews>
    <sheetView workbookViewId="0">
      <pane xSplit="1" ySplit="1" topLeftCell="B2" activePane="bottomRight" state="frozen"/>
      <selection pane="topRight"/>
      <selection pane="bottomLeft"/>
      <selection pane="bottomRight"/>
    </sheetView>
  </sheetViews>
  <sheetFormatPr defaultRowHeight="14.4" x14ac:dyDescent="0.3"/>
  <cols>
    <col min="1" max="1" width="30" customWidth="1"/>
    <col min="2" max="2" width="60" customWidth="1"/>
    <col min="3" max="3" width="50" customWidth="1"/>
  </cols>
  <sheetData>
    <row r="1" spans="1:3" x14ac:dyDescent="0.3">
      <c r="A1" s="4" t="s">
        <v>571</v>
      </c>
      <c r="B1" s="4" t="s">
        <v>572</v>
      </c>
      <c r="C1" s="4" t="s">
        <v>534</v>
      </c>
    </row>
    <row r="2" spans="1:3" x14ac:dyDescent="0.3">
      <c r="A2" s="3" t="s">
        <v>573</v>
      </c>
      <c r="B2" s="3" t="s">
        <v>574</v>
      </c>
      <c r="C2" s="3" t="s">
        <v>575</v>
      </c>
    </row>
    <row r="3" spans="1:3" ht="28.8" x14ac:dyDescent="0.3">
      <c r="A3" s="3" t="s">
        <v>576</v>
      </c>
      <c r="B3" s="3" t="s">
        <v>577</v>
      </c>
      <c r="C3" s="3" t="s">
        <v>578</v>
      </c>
    </row>
    <row r="4" spans="1:3" x14ac:dyDescent="0.3">
      <c r="A4" s="3" t="s">
        <v>579</v>
      </c>
      <c r="B4" s="3" t="s">
        <v>580</v>
      </c>
      <c r="C4" s="3" t="s">
        <v>581</v>
      </c>
    </row>
    <row r="5" spans="1:3" ht="28.8" x14ac:dyDescent="0.3">
      <c r="A5" s="3" t="s">
        <v>582</v>
      </c>
      <c r="B5" s="3" t="s">
        <v>583</v>
      </c>
      <c r="C5" s="3" t="s">
        <v>584</v>
      </c>
    </row>
  </sheetData>
  <autoFilter ref="A1:C1000" xr:uid="{00000000-0009-0000-0000-000007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 Me</vt:lpstr>
      <vt:lpstr>Acceptance Criteria</vt:lpstr>
      <vt:lpstr>Delivery Standards</vt:lpstr>
      <vt:lpstr>Questions</vt:lpstr>
      <vt:lpstr>Client Inputs</vt:lpstr>
      <vt:lpstr>Test Cases</vt:lpstr>
      <vt:lpstr>Summary</vt:lpstr>
      <vt:lpstr>References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Albin Tom Kuruvilla</cp:lastModifiedBy>
  <dcterms:created xsi:type="dcterms:W3CDTF">2026-10-29T07:26:06Z</dcterms:created>
  <dcterms:modified xsi:type="dcterms:W3CDTF">2026-10-29T07:33:24Z</dcterms:modified>
</cp:coreProperties>
</file>