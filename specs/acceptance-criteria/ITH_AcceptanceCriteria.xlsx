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Read Me" sheetId="1" state="visible" r:id="rId1"/>
    <sheet xmlns:r="http://schemas.openxmlformats.org/officeDocument/2006/relationships" name="Acceptance Criteria" sheetId="2" state="visible" r:id="rId2"/>
    <sheet xmlns:r="http://schemas.openxmlformats.org/officeDocument/2006/relationships" name="Delivery Standards" sheetId="3" state="visible" r:id="rId3"/>
    <sheet xmlns:r="http://schemas.openxmlformats.org/officeDocument/2006/relationships" name="Questions" sheetId="4" state="visible" r:id="rId4"/>
    <sheet xmlns:r="http://schemas.openxmlformats.org/officeDocument/2006/relationships" name="Client Inputs" sheetId="5" state="visible" r:id="rId5"/>
    <sheet xmlns:r="http://schemas.openxmlformats.org/officeDocument/2006/relationships" name="Test Cases" sheetId="6" state="visible" r:id="rId6"/>
    <sheet xmlns:r="http://schemas.openxmlformats.org/officeDocument/2006/relationships" name="Summary" sheetId="7" state="visible" r:id="rId7"/>
    <sheet xmlns:r="http://schemas.openxmlformats.org/officeDocument/2006/relationships" name="References" sheetId="8" state="visible" r:id="rId8"/>
  </sheets>
  <definedNames>
    <definedName name="_xlnm._FilterDatabase" localSheetId="1" hidden="1">'Acceptance Criteria'!$A$1:$O$1000</definedName>
    <definedName name="_xlnm._FilterDatabase" localSheetId="2" hidden="1">'Delivery Standards'!$A$1:$E$1000</definedName>
    <definedName name="_xlnm._FilterDatabase" localSheetId="3" hidden="1">'Questions'!$A$1:$I$1000</definedName>
    <definedName name="_xlnm._FilterDatabase" localSheetId="4" hidden="1">'Client Inputs'!$A$1:$G$1000</definedName>
    <definedName name="_xlnm._FilterDatabase" localSheetId="5" hidden="1">'Test Cases'!$A$1:$N$1000</definedName>
    <definedName name="_xlnm._FilterDatabase" localSheetId="7" hidden="1">'References'!$A$1:$C$1000</definedName>
  </definedNames>
  <calcPr calcId="191029" fullCalcOnLoad="1"/>
</workbook>
</file>

<file path=xl/styles.xml><?xml version="1.0" encoding="utf-8"?>
<styleSheet xmlns="http://schemas.openxmlformats.org/spreadsheetml/2006/main">
  <numFmts count="0"/>
  <fonts count="9">
    <font>
      <name val="Calibri"/>
      <family val="2"/>
      <color theme="1"/>
      <sz val="11"/>
      <scheme val="minor"/>
    </font>
    <font>
      <name val="Calibri"/>
      <b val="1"/>
      <sz val="14"/>
    </font>
    <font>
      <name val="Calibri"/>
      <b val="1"/>
      <sz val="11"/>
    </font>
    <font>
      <name val="Calibri"/>
      <b val="1"/>
      <color rgb="FFFFFFFF"/>
      <sz val="11"/>
    </font>
    <font>
      <name val="Calibri"/>
      <i val="1"/>
      <sz val="11"/>
    </font>
    <font>
      <b val="1"/>
      <sz val="14"/>
    </font>
    <font>
      <b val="1"/>
      <color rgb="00FFFFFF"/>
    </font>
    <font>
      <b val="1"/>
    </font>
    <font>
      <i val="1"/>
    </font>
  </fonts>
  <fills count="4">
    <fill>
      <patternFill/>
    </fill>
    <fill>
      <patternFill patternType="gray125"/>
    </fill>
    <fill>
      <patternFill patternType="solid">
        <fgColor rgb="FF1F4E8C"/>
      </patternFill>
    </fill>
    <fill>
      <patternFill patternType="solid">
        <fgColor rgb="001F4E8C"/>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2" borderId="0" applyAlignment="1" pivotButton="0" quotePrefix="0" xfId="0">
      <alignment vertical="top" wrapText="1"/>
    </xf>
    <xf numFmtId="0" fontId="3" fillId="2" borderId="0" pivotButton="0" quotePrefix="0" xfId="0"/>
    <xf numFmtId="9" fontId="0" fillId="0" borderId="0" pivotButton="0" quotePrefix="0" xfId="0"/>
    <xf numFmtId="0" fontId="4" fillId="0" borderId="0" pivotButton="0" quotePrefix="0" xfId="0"/>
    <xf numFmtId="14" fontId="0" fillId="0" borderId="0" pivotButton="0" quotePrefix="0" xfId="0"/>
    <xf numFmtId="0" fontId="5" fillId="0" borderId="0" pivotButton="0" quotePrefix="0" xfId="0"/>
    <xf numFmtId="0" fontId="6" fillId="3" borderId="0" pivotButton="0" quotePrefix="0" xfId="0"/>
    <xf numFmtId="0" fontId="7" fillId="0" borderId="0" pivotButton="0" quotePrefix="0" xfId="0"/>
    <xf numFmtId="0" fontId="8"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
  <sheetViews>
    <sheetView tabSelected="1" workbookViewId="0">
      <selection activeCell="B13" sqref="B13"/>
    </sheetView>
  </sheetViews>
  <sheetFormatPr baseColWidth="8" defaultRowHeight="14.4"/>
  <cols>
    <col width="26" customWidth="1" min="1" max="1"/>
    <col width="100" customWidth="1" min="2" max="2"/>
  </cols>
  <sheetData>
    <row r="1" ht="18" customHeight="1">
      <c r="A1" s="1" t="inlineStr">
        <is>
          <t>IT Help — Acceptance Criteria</t>
        </is>
      </c>
    </row>
    <row r="3">
      <c r="A3" s="2" t="inlineStr">
        <is>
          <t>Document control</t>
        </is>
      </c>
    </row>
    <row r="4">
      <c r="A4" t="inlineStr">
        <is>
          <t>Client</t>
        </is>
      </c>
      <c r="B4" t="inlineStr">
        <is>
          <t>Acies Innovations</t>
        </is>
      </c>
    </row>
    <row r="5">
      <c r="A5" t="inlineStr">
        <is>
          <t>Project code</t>
        </is>
      </c>
      <c r="B5" t="inlineStr">
        <is>
          <t>ITH</t>
        </is>
      </c>
    </row>
    <row r="6">
      <c r="A6" t="inlineStr">
        <is>
          <t>Document version</t>
        </is>
      </c>
      <c r="B6" t="inlineStr">
        <is>
          <t>0.1</t>
        </is>
      </c>
    </row>
    <row r="7">
      <c r="A7" t="inlineStr">
        <is>
          <t>Prepared by</t>
        </is>
      </c>
      <c r="B7" t="inlineStr">
        <is>
          <t>Claude Code (/acceptance-criteria)</t>
        </is>
      </c>
    </row>
    <row r="8">
      <c r="A8" t="inlineStr">
        <is>
          <t>Prepared on</t>
        </is>
      </c>
      <c r="B8" t="inlineStr">
        <is>
          <t>2026-10-29</t>
        </is>
      </c>
    </row>
    <row r="9">
      <c r="A9" t="inlineStr">
        <is>
          <t>Approved by (PO)</t>
        </is>
      </c>
      <c r="B9" t="inlineStr">
        <is>
          <t>Albin (PO)</t>
        </is>
      </c>
    </row>
    <row r="10">
      <c r="A10" t="inlineStr">
        <is>
          <t>Approved on</t>
        </is>
      </c>
      <c r="B10" s="8" t="n">
        <v>46324</v>
      </c>
    </row>
    <row r="11">
      <c r="A11" t="inlineStr">
        <is>
          <t>Format version</t>
        </is>
      </c>
      <c r="B11" t="inlineStr">
        <is>
          <t>1.1</t>
        </is>
      </c>
    </row>
    <row r="13">
      <c r="A13" s="2" t="inlineStr">
        <is>
          <t>Sheets</t>
        </is>
      </c>
      <c r="B13" s="3" t="n"/>
    </row>
    <row r="14" ht="28.8" customHeight="1">
      <c r="A14" t="inlineStr">
        <is>
          <t>Acceptance Criteria</t>
        </is>
      </c>
      <c r="B14" s="3" t="inlineStr">
        <is>
          <t>One row per feature. 'Acceptance Checks' is a numbered list — each check is one observable, testable outcome. Test cases cite a check by its number.</t>
        </is>
      </c>
    </row>
    <row r="15" ht="28.8" customHeight="1">
      <c r="A15" t="inlineStr">
        <is>
          <t>Delivery Standards</t>
        </is>
      </c>
      <c r="B15" s="3" t="inlineStr">
        <is>
          <t>Acies delivery standards (accessibility, permissions, loading/empty/error states). They apply to every criterion. They are how Acies builds, not scope to negotiate, and are not repeated in each row. Test cases cite them like criteria.</t>
        </is>
      </c>
    </row>
    <row r="16" ht="28.8" customHeight="1">
      <c r="A16" t="inlineStr">
        <is>
          <t>Questions</t>
        </is>
      </c>
      <c r="B16" s="3" t="inlineStr">
        <is>
          <t>Open questions for the PO, with the IDs used in 'Open Questions' and in PROJECT.md. 'Current baseline' is what gets built if a question stays unanswered. Answer in 'Answer · date' and set Status to Answered.</t>
        </is>
      </c>
    </row>
    <row r="17" ht="28.8" customHeight="1">
      <c r="A17" t="inlineStr">
        <is>
          <t>Client Inputs</t>
        </is>
      </c>
      <c r="B17" s="3" t="inlineStr">
        <is>
          <t>Content and decisions the client must supply (links, logos, mappings). A row stays 'Awaiting' until it arrives; tests that depend on it are 'Blocked', not 'Fail'.</t>
        </is>
      </c>
    </row>
    <row r="18" ht="43.2" customHeight="1">
      <c r="A18" t="inlineStr">
        <is>
          <t>Test Cases</t>
        </is>
      </c>
      <c r="B18" s="3" t="inlineStr">
        <is>
          <t>One row per test case. Feature and Power Apps Component are looked up from the AC ID — '⚠ Unknown AC ID' means the ID is wrong. A re-test updates Iteration and Status in place, and the earlier result moves to Comments ('It1: Fail — BUG-014. It2: Pass').</t>
        </is>
      </c>
    </row>
    <row r="19">
      <c r="A19" t="inlineStr">
        <is>
          <t>Summary</t>
        </is>
      </c>
      <c r="B19" s="3" t="inlineStr">
        <is>
          <t>Calculated. Do not type into it.</t>
        </is>
      </c>
    </row>
    <row r="20">
      <c r="A20" t="inlineStr">
        <is>
          <t>References</t>
        </is>
      </c>
      <c r="B20" s="3" t="inlineStr">
        <is>
          <t>Where the source artefacts live. Never put credentials or passwords here — link to where they are held instead.</t>
        </is>
      </c>
    </row>
    <row r="21">
      <c r="B21" s="3" t="n"/>
    </row>
    <row r="22">
      <c r="A22" s="2" t="inlineStr">
        <is>
          <t>Rules</t>
        </is>
      </c>
      <c r="B22" s="3" t="n"/>
    </row>
    <row r="23" ht="28.8" customHeight="1">
      <c r="A23" t="inlineStr">
        <is>
          <t>Working copy</t>
        </is>
      </c>
      <c r="B23" s="3" t="inlineStr">
        <is>
          <t>This file is the one working copy. Edit it in Excel and keep its sheets, columns and drop-downs; don't regenerate it with another tool or keep a second copy. The delivery team compares versions with 'ac_workbook.py diff'.</t>
        </is>
      </c>
    </row>
    <row r="24" ht="57.6" customHeight="1">
      <c r="A24" t="inlineStr">
        <is>
          <t>IDs</t>
        </is>
      </c>
      <c r="B24" s="3" t="inlineStr">
        <is>
          <t>AC-&lt;PROJECT&gt;-NN: the project code, then one running number for the whole project, from 01 (AC-CON-01, AC-CON-02, …). Test cases are TC-&lt;AREA&gt;-NNN, AREA being a 2–6 letter code for the screen or module (NAV, HOME), and cite the AC ID. IDs are permanent: never renumber, never reuse, never delete a row. A criterion taken out of scope keeps its row with Status 'Out of Scope'.</t>
        </is>
      </c>
    </row>
    <row r="25" ht="43.2" customHeight="1">
      <c r="A25" t="inlineStr">
        <is>
          <t>Source</t>
        </is>
      </c>
      <c r="B25" s="3" t="inlineStr">
        <is>
          <t>Every criterion names where it came from: a BRD row, a transcript timestamp, a design file. 'ASSUMPTION' means nobody said it — it must have an Open Question, and the PO must confirm it before approval. Once the PO decides, the Source says 'PO decision YYYY-MM-DD (Q-nn)' instead.</t>
        </is>
      </c>
    </row>
    <row r="26" ht="43.2" customHeight="1">
      <c r="A26" t="inlineStr">
        <is>
          <t>Status</t>
        </is>
      </c>
      <c r="B26" s="3" t="inlineStr">
        <is>
          <t>Candidate (only the BRD mentions it; not in the baseline unless the PO promotes it) · Draft → In Review → Approved · Changed (altered after approval) · On Hold (agreed for later) · Out of Scope (dropped; the row stays). Only Approved and Changed rows are built. Every change after review adds a line to 'Alterations': YYYY-MM-DD · who · what.</t>
        </is>
      </c>
    </row>
    <row r="27">
      <c r="A27" t="inlineStr">
        <is>
          <t>Type</t>
        </is>
      </c>
      <c r="B27" s="3" t="inlineStr">
        <is>
          <t>UI, Functional, Data, Integration, Security, Accessibility, Performance, Content</t>
        </is>
      </c>
    </row>
    <row r="28">
      <c r="A28" t="inlineStr">
        <is>
          <t>Priority</t>
        </is>
      </c>
      <c r="B28" s="3" t="inlineStr">
        <is>
          <t>Must, Should, Could, Won't (MoSCoW).</t>
        </is>
      </c>
    </row>
    <row r="29">
      <c r="A29" t="inlineStr">
        <is>
          <t>Test types</t>
        </is>
      </c>
      <c r="B29" s="3" t="inlineStr">
        <is>
          <t>Positive, Negative, Edge, Boundary, Stress, Accessibility, UI</t>
        </is>
      </c>
    </row>
    <row r="30">
      <c r="A30" t="inlineStr">
        <is>
          <t>Test status</t>
        </is>
      </c>
      <c r="B30" s="3" t="inlineStr">
        <is>
          <t>Not Run, Pass, Fail, Blocked</t>
        </is>
      </c>
    </row>
    <row r="31">
      <c r="B31" s="3" t="n"/>
    </row>
    <row r="32">
      <c r="A32" t="inlineStr">
        <is>
          <t>Generated by</t>
        </is>
      </c>
      <c r="B32" s="3" t="inlineStr">
        <is>
          <t>tools/ac_workbook.py — see docs/standards/acceptance-criteria-standard.md in the project repository.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45"/>
  <sheetViews>
    <sheetView workbookViewId="0">
      <pane xSplit="1" ySplit="1" topLeftCell="H2" activePane="bottomRight" state="frozen"/>
      <selection pane="topRight" activeCell="A1" sqref="A1"/>
      <selection pane="bottomLeft" activeCell="A1" sqref="A1"/>
      <selection pane="bottomRight" activeCell="N2" sqref="N2:N45"/>
    </sheetView>
  </sheetViews>
  <sheetFormatPr baseColWidth="8" defaultRowHeight="14.4"/>
  <cols>
    <col width="13" customWidth="1" min="1" max="1"/>
    <col width="24" customWidth="1" min="2" max="2"/>
    <col width="16" customWidth="1" min="3" max="3"/>
    <col width="26" customWidth="1" min="4" max="4"/>
    <col width="48" customWidth="1" min="5" max="5"/>
    <col width="62" customWidth="1" min="6" max="6"/>
    <col width="22" customWidth="1" min="7" max="7"/>
    <col width="34" customWidth="1" min="8" max="8"/>
    <col width="14" customWidth="1" min="9" max="9"/>
    <col width="10" customWidth="1" min="10" max="10"/>
    <col width="30" customWidth="1" min="11" max="11"/>
    <col width="26" customWidth="1" min="12" max="12"/>
    <col width="30" customWidth="1" min="13" max="13"/>
    <col width="12" customWidth="1" min="14" max="14"/>
    <col width="40" customWidth="1" min="15" max="15"/>
  </cols>
  <sheetData>
    <row r="1">
      <c r="A1" s="4" t="inlineStr">
        <is>
          <t>AC ID</t>
        </is>
      </c>
      <c r="B1" s="4" t="inlineStr">
        <is>
          <t>Screen Section</t>
        </is>
      </c>
      <c r="C1" s="4" t="inlineStr">
        <is>
          <t>User Role</t>
        </is>
      </c>
      <c r="D1" s="4" t="inlineStr">
        <is>
          <t>Feature</t>
        </is>
      </c>
      <c r="E1" s="4" t="inlineStr">
        <is>
          <t>Description</t>
        </is>
      </c>
      <c r="F1" s="4" t="inlineStr">
        <is>
          <t>Acceptance Checks</t>
        </is>
      </c>
      <c r="G1" s="4" t="inlineStr">
        <is>
          <t>Power Apps Component</t>
        </is>
      </c>
      <c r="H1" s="4" t="inlineStr">
        <is>
          <t>Data (Lists &amp; Fields)</t>
        </is>
      </c>
      <c r="I1" s="4" t="inlineStr">
        <is>
          <t>Type</t>
        </is>
      </c>
      <c r="J1" s="4" t="inlineStr">
        <is>
          <t>Priority</t>
        </is>
      </c>
      <c r="K1" s="4" t="inlineStr">
        <is>
          <t>Source</t>
        </is>
      </c>
      <c r="L1" s="4" t="inlineStr">
        <is>
          <t>Client Input Needed</t>
        </is>
      </c>
      <c r="M1" s="4" t="inlineStr">
        <is>
          <t>Open Questions</t>
        </is>
      </c>
      <c r="N1" s="4" t="inlineStr">
        <is>
          <t>Status</t>
        </is>
      </c>
      <c r="O1" s="4" t="inlineStr">
        <is>
          <t>Alterations (dated)</t>
        </is>
      </c>
    </row>
    <row r="2" ht="172.8" customHeight="1">
      <c r="A2" s="3" t="inlineStr">
        <is>
          <t>AC-ITH-01</t>
        </is>
      </c>
      <c r="B2" s="3" t="inlineStr">
        <is>
          <t>Whole solution</t>
        </is>
      </c>
      <c r="C2" s="3" t="inlineStr">
        <is>
          <t>All Users</t>
        </is>
      </c>
      <c r="D2" s="3" t="inlineStr">
        <is>
          <t>Solution platform and boundaries</t>
        </is>
      </c>
      <c r="E2" s="3" t="inlineStr">
        <is>
          <t>The IT helpdesk is one Power Apps canvas app with SharePoint lists for data, Power Automate flows and Outlook emails, built from the accepted prototype. This row fixes what is and is not built.</t>
        </is>
      </c>
      <c r="F2" s="3" t="inlineStr">
        <is>
          <t>1. The app is a Power Apps canvas app; ticket data is stored in SharePoint lists; emails are sent by Power Automate flows through Office 365 Outlook.
2. Only internal users with Microsoft 365 licences use the app; no external or guest user is supported.
3. One ticket records one issue raised by one requester.
4. Not built: SLA timers, escalation and breach alerts; integration with ITSM tools, Teams or SMS notifications; asset, change and problem management; Power BI dashboards and trend analytics.
5. The priority target times shown on the Settings screen (for example "Target: 4 hours") are text only; nothing calculates, shows or enforces them.</t>
        </is>
      </c>
      <c r="G2" s="3" t="inlineStr">
        <is>
          <t>ITHelp: App</t>
        </is>
      </c>
      <c r="H2" s="3" t="inlineStr">
        <is>
          <t>None</t>
        </is>
      </c>
      <c r="I2" s="3" t="inlineStr">
        <is>
          <t>Functional</t>
        </is>
      </c>
      <c r="J2" s="3" t="inlineStr">
        <is>
          <t>Must</t>
        </is>
      </c>
      <c r="K2" s="3" t="inlineStr">
        <is>
          <t>BRD: Helpdesk_BRD 1.0!R2, R19</t>
        </is>
      </c>
      <c r="L2" s="3" t="n"/>
      <c r="M2" s="3" t="inlineStr">
        <is>
          <t>Q-03</t>
        </is>
      </c>
      <c r="N2" s="3" t="inlineStr">
        <is>
          <t>Approved</t>
        </is>
      </c>
      <c r="O2" s="3" t="n"/>
    </row>
    <row r="3" ht="201.6" customHeight="1">
      <c r="A3" s="3" t="inlineStr">
        <is>
          <t>AC-ITH-02</t>
        </is>
      </c>
      <c r="B3" s="3" t="inlineStr">
        <is>
          <t>Sidebar navigation</t>
        </is>
      </c>
      <c r="C3" s="3" t="inlineStr">
        <is>
          <t>All Users</t>
        </is>
      </c>
      <c r="D3" s="3" t="inlineStr">
        <is>
          <t>Left navigation</t>
        </is>
      </c>
      <c r="E3" s="3" t="inlineStr">
        <is>
          <t>A persistent left navigation lets users move between the app's main views and shows how many open tickets are theirs.</t>
        </is>
      </c>
      <c r="F3" s="3" t="inlineStr">
        <is>
          <t>1. The sidebar shows, in this order: "Overview", "All tickets", "My tickets", "Assigned to me", "Knowledge base", "Settings", each with an icon, as in index (4).html.
2. The sidebar is on every screen. Selecting an item opens that view.
3. The current view's item is highlighted (soft accent fill, accent text) and announced to a screen reader as the current page.
4. "My tickets" shows a count of the signed-in user's tickets that are not Resolved or Closed, and "Assigned to me" shows a count of tickets assigned to the signed-in user that are not Resolved or Closed. A count of 0 shows no count.
5. At the top, the sidebar shows a square logo tile with the letter "H" and the text "Helpdesk".
6. At the bottom, the sidebar shows the signed-in user's initials, full name and role (see AC-ITH-05).</t>
        </is>
      </c>
      <c r="G3" s="3" t="inlineStr">
        <is>
          <t>ITHelp: conSidebar (every screen)</t>
        </is>
      </c>
      <c r="H3" s="3" t="inlineStr">
        <is>
          <t>ITH_Tickets: RequesterEmail, AssignedToEmail, TicketStatus</t>
        </is>
      </c>
      <c r="I3" s="3" t="inlineStr">
        <is>
          <t>UI</t>
        </is>
      </c>
      <c r="J3" s="3" t="inlineStr">
        <is>
          <t>Must</t>
        </is>
      </c>
      <c r="K3" s="3" t="inlineStr">
        <is>
          <t>BRD: Helpdesk_BRD 1.0!R3; Design: index (4).html nav(), .logo, .prof</t>
        </is>
      </c>
      <c r="L3" s="3" t="n"/>
      <c r="M3" s="3" t="inlineStr">
        <is>
          <t>Q-12</t>
        </is>
      </c>
      <c r="N3" s="3" t="inlineStr">
        <is>
          <t>Approved</t>
        </is>
      </c>
      <c r="O3" s="3" t="n"/>
    </row>
    <row r="4" ht="129.6" customHeight="1">
      <c r="A4" s="3" t="inlineStr">
        <is>
          <t>AC-ITH-03</t>
        </is>
      </c>
      <c r="B4" s="3" t="inlineStr">
        <is>
          <t>Sidebar navigation</t>
        </is>
      </c>
      <c r="C4" s="3" t="inlineStr">
        <is>
          <t>All Users</t>
        </is>
      </c>
      <c r="D4" s="3" t="inlineStr">
        <is>
          <t>Collapsible sidebar</t>
        </is>
      </c>
      <c r="E4" s="3" t="inlineStr">
        <is>
          <t>Users can fold the sidebar to a narrow icon rail to give the content more room.</t>
        </is>
      </c>
      <c r="F4" s="3" t="inlineStr">
        <is>
          <t>1. A button with the accessible name "Collapse sidebar" in the header folds the sidebar to a narrow rail that shows icons only; selecting it again restores the full sidebar.
2. In the rail the labels, counts and the "Helpdesk" text are hidden, and each item keeps an accessible name.
3. On a narrow window (under 700 px wide in the prototype) the sidebar starts folded.
4. If Power Apps controls cannot support folding as drawn, the closest working equivalent is built and recorded as a deviation.</t>
        </is>
      </c>
      <c r="G4" s="3" t="inlineStr">
        <is>
          <t>ITHelp: conSidebar (every screen)</t>
        </is>
      </c>
      <c r="H4" s="3" t="inlineStr">
        <is>
          <t>None</t>
        </is>
      </c>
      <c r="I4" s="3" t="inlineStr">
        <is>
          <t>UI</t>
        </is>
      </c>
      <c r="J4" s="3" t="inlineStr">
        <is>
          <t>Could</t>
        </is>
      </c>
      <c r="K4" s="3" t="inlineStr">
        <is>
          <t>BRD: Helpdesk_BRD 1.0!R3 ("subject to Power Apps control support"); Design: index (4).html #tg, .col aside</t>
        </is>
      </c>
      <c r="L4" s="3" t="n"/>
      <c r="M4" s="3" t="n"/>
      <c r="N4" s="3" t="inlineStr">
        <is>
          <t>Approved</t>
        </is>
      </c>
      <c r="O4" s="3" t="n"/>
    </row>
    <row r="5" ht="158.4" customHeight="1">
      <c r="A5" s="3" t="inlineStr">
        <is>
          <t>AC-ITH-04</t>
        </is>
      </c>
      <c r="B5" s="3" t="inlineStr">
        <is>
          <t>Header</t>
        </is>
      </c>
      <c r="C5" s="3" t="inlineStr">
        <is>
          <t>All Users</t>
        </is>
      </c>
      <c r="D5" s="3" t="inlineStr">
        <is>
          <t>Header and page title</t>
        </is>
      </c>
      <c r="E5" s="3" t="inlineStr">
        <is>
          <t>Every screen has a header with the page title as a breadcrumb and the main header actions.</t>
        </is>
      </c>
      <c r="F5" s="3" t="inlineStr">
        <is>
          <t>1. From left to right the header shows: the collapse button, the breadcrumb, the search box, a primary "Create ticket" button, the theme toggle, the notification bell and the profile avatar.
2. The breadcrumb reads "Helpdesk / &lt;page title&gt;", where the page title is one of "Overview", "All tickets", "My tickets", "Assigned to me", "Knowledge base" or "Settings"; on an open article it reads "Knowledge base / &lt;article title&gt;".
3. Selecting "Helpdesk" in the breadcrumb opens Overview.
4. The "Create ticket" button opens the create ticket form (AC-ITH-20). On a narrow window it shows its plus icon only and keeps its accessible name.</t>
        </is>
      </c>
      <c r="G5" s="3" t="inlineStr">
        <is>
          <t>ITHelp: conHeader (every screen)</t>
        </is>
      </c>
      <c r="H5" s="3" t="inlineStr">
        <is>
          <t>None</t>
        </is>
      </c>
      <c r="I5" s="3" t="inlineStr">
        <is>
          <t>UI</t>
        </is>
      </c>
      <c r="J5" s="3" t="inlineStr">
        <is>
          <t>Must</t>
        </is>
      </c>
      <c r="K5" s="3" t="inlineStr">
        <is>
          <t>BRD: Helpdesk_BRD 1.0!R3; Design: index (4).html .hd, .crumb, TT</t>
        </is>
      </c>
      <c r="L5" s="3" t="n"/>
      <c r="M5" s="3" t="n"/>
      <c r="N5" s="3" t="inlineStr">
        <is>
          <t>Approved</t>
        </is>
      </c>
      <c r="O5" s="3" t="n"/>
    </row>
    <row r="6" ht="115.2" customHeight="1">
      <c r="A6" s="3" t="inlineStr">
        <is>
          <t>AC-ITH-05</t>
        </is>
      </c>
      <c r="B6" s="3" t="inlineStr">
        <is>
          <t>Header - profile</t>
        </is>
      </c>
      <c r="C6" s="3" t="inlineStr">
        <is>
          <t>All Users</t>
        </is>
      </c>
      <c r="D6" s="3" t="inlineStr">
        <is>
          <t>Signed-in user and profile menu</t>
        </is>
      </c>
      <c r="E6" s="3" t="inlineStr">
        <is>
          <t>The app knows who is signed in from their Microsoft 365 profile and shows it in the sidebar and a profile menu.</t>
        </is>
      </c>
      <c r="F6" s="3" t="inlineStr">
        <is>
          <t>1. The signed-in user's full name and email come from their Microsoft 365 profile; nobody types them.
2. The avatar shows the user's initials. Selecting it opens a menu with the user's full name, email and a "Settings" item that opens Settings.
3. The sidebar and menu show the user's role as Requester, Technician or Administrator (see AC-ITH-39 to AC-ITH-41).
4. Only one header menu (profile or notifications) is open at a time; selecting elsewhere or choosing another view closes it.</t>
        </is>
      </c>
      <c r="G6" s="3" t="inlineStr">
        <is>
          <t>ITHelp: conHeader (every screen)</t>
        </is>
      </c>
      <c r="H6" s="3" t="inlineStr">
        <is>
          <t>ITH_Technicians: Title, Email</t>
        </is>
      </c>
      <c r="I6" s="3" t="inlineStr">
        <is>
          <t>Functional</t>
        </is>
      </c>
      <c r="J6" s="3" t="inlineStr">
        <is>
          <t>Must</t>
        </is>
      </c>
      <c r="K6" s="3" t="inlineStr">
        <is>
          <t>BRD: Helpdesk_BRD 1.0!R3; Design: index (4).html #dp, .prof, ME</t>
        </is>
      </c>
      <c r="L6" s="3" t="inlineStr">
        <is>
          <t>IN-01</t>
        </is>
      </c>
      <c r="M6" s="3" t="inlineStr">
        <is>
          <t>Q-03</t>
        </is>
      </c>
      <c r="N6" s="3" t="inlineStr">
        <is>
          <t>Approved</t>
        </is>
      </c>
      <c r="O6" s="3" t="n"/>
    </row>
    <row r="7" ht="115.2" customHeight="1">
      <c r="A7" s="3" t="inlineStr">
        <is>
          <t>AC-ITH-06</t>
        </is>
      </c>
      <c r="B7" s="3" t="inlineStr">
        <is>
          <t>Header - search</t>
        </is>
      </c>
      <c r="C7" s="3" t="inlineStr">
        <is>
          <t>All Users</t>
        </is>
      </c>
      <c r="D7" s="3" t="inlineStr">
        <is>
          <t>Global ticket search</t>
        </is>
      </c>
      <c r="E7" s="3" t="inlineStr">
        <is>
          <t>A search box in the header finds tickets by ID or subject from any screen.</t>
        </is>
      </c>
      <c r="F7" s="3" t="inlineStr">
        <is>
          <t>1. The header search box has the placeholder "Search tickets by ID or subject" and the accessible name "Search tickets".
2. Typing in it opens All tickets (or stays on All tickets, My tickets or Assigned to me) with the list filtered to tickets whose ID or subject contains the text, ignoring case.
3. The list's own search box shows the same text, and the list returns to page 1.
4. The box shows a visible accent border when it has focus.</t>
        </is>
      </c>
      <c r="G7" s="3" t="inlineStr">
        <is>
          <t>ITHelp: conHeader (every screen)</t>
        </is>
      </c>
      <c r="H7" s="3" t="inlineStr">
        <is>
          <t>ITH_Tickets: Title</t>
        </is>
      </c>
      <c r="I7" s="3" t="inlineStr">
        <is>
          <t>Functional</t>
        </is>
      </c>
      <c r="J7" s="3" t="inlineStr">
        <is>
          <t>Must</t>
        </is>
      </c>
      <c r="K7" s="3" t="inlineStr">
        <is>
          <t>BRD: Helpdesk_BRD 1.0!R3; Design: index (4).html #gq, setQ()</t>
        </is>
      </c>
      <c r="L7" s="3" t="n"/>
      <c r="M7" s="3" t="inlineStr">
        <is>
          <t>Q-07</t>
        </is>
      </c>
      <c r="N7" s="3" t="inlineStr">
        <is>
          <t>Approved</t>
        </is>
      </c>
      <c r="O7" s="3" t="n"/>
    </row>
    <row r="8" ht="144" customHeight="1">
      <c r="A8" s="3" t="inlineStr">
        <is>
          <t>AC-ITH-07</t>
        </is>
      </c>
      <c r="B8" s="3" t="inlineStr">
        <is>
          <t>Header - notifications</t>
        </is>
      </c>
      <c r="C8" s="3" t="inlineStr">
        <is>
          <t>All Users</t>
        </is>
      </c>
      <c r="D8" s="3" t="inlineStr">
        <is>
          <t>Notification indicator</t>
        </is>
      </c>
      <c r="E8" s="3" t="inlineStr">
        <is>
          <t>A bell in the header shows recent ticket activity inside the app. It is not a separate notification centre.</t>
        </is>
      </c>
      <c r="F8" s="3" t="inlineStr">
        <is>
          <t>1. The bell has the accessible name "Notifications" and a small red dot until the user has opened the menu once in the session.
2. Opening it lists the 5 most recent activity entries across the tickets the user may see, newest first; each shows the entry text and, under it, "&lt;ticket ID&gt; · &lt;relative time&gt;" such as "HD-1004 · 3 h ago".
3. Relative time reads "just now", "&lt;n&gt; min ago", "&lt;n&gt; h ago" or "&lt;n&gt; d ago".
4. Selecting an entry opens that ticket's detail (AC-ITH-24) and closes the menu.
5. The indicator only reads activity recorded in the app; it sends nothing.</t>
        </is>
      </c>
      <c r="G8" s="3" t="inlineStr">
        <is>
          <t>ITHelp: conHeader (every screen)</t>
        </is>
      </c>
      <c r="H8" s="3" t="inlineStr">
        <is>
          <t>ITH_TicketActivity: TicketId, ActivityText, Created</t>
        </is>
      </c>
      <c r="I8" s="3" t="inlineStr">
        <is>
          <t>Functional</t>
        </is>
      </c>
      <c r="J8" s="3" t="inlineStr">
        <is>
          <t>Should</t>
        </is>
      </c>
      <c r="K8" s="3" t="inlineStr">
        <is>
          <t>BRD: Helpdesk_BRD 1.0!R3; Design: index (4).html dd('dn'), feed(5), rel()</t>
        </is>
      </c>
      <c r="L8" s="3" t="n"/>
      <c r="M8" s="3" t="inlineStr">
        <is>
          <t>Q-18</t>
        </is>
      </c>
      <c r="N8" s="3" t="inlineStr">
        <is>
          <t>Approved</t>
        </is>
      </c>
      <c r="O8" s="3" t="n"/>
    </row>
    <row r="9" ht="100.8" customHeight="1">
      <c r="A9" s="3" t="inlineStr">
        <is>
          <t>AC-ITH-08</t>
        </is>
      </c>
      <c r="B9" s="3" t="inlineStr">
        <is>
          <t>Header - theme</t>
        </is>
      </c>
      <c r="C9" s="3" t="inlineStr">
        <is>
          <t>All Users</t>
        </is>
      </c>
      <c r="D9" s="3" t="inlineStr">
        <is>
          <t>Light and dark scheme</t>
        </is>
      </c>
      <c r="E9" s="3" t="inlineStr">
        <is>
          <t>The prototype offers a light and a dark scheme with a toggle; the BRD lists dark theme as out of scope. Both are drafted so the PO can decide.</t>
        </is>
      </c>
      <c r="F9" s="3" t="inlineStr">
        <is>
          <t>1. A header button with the accessible name "Toggle dark theme" shows a moon icon in the light scheme and a sun icon in the dark scheme, and switches the whole app between the two.
2. Every screen, dialog and panel is readable in both schemes, with the colours measured from the prototype's light and dark values.
3. Decide: build the dark scheme, or leave it out? Baseline: both schemes are built, the toggle is built, and the choice is held per user.</t>
        </is>
      </c>
      <c r="G9" s="3" t="inlineStr">
        <is>
          <t>ITHelp: App</t>
        </is>
      </c>
      <c r="H9" s="3" t="inlineStr">
        <is>
          <t>None</t>
        </is>
      </c>
      <c r="I9" s="3" t="inlineStr">
        <is>
          <t>UI</t>
        </is>
      </c>
      <c r="J9" s="3" t="inlineStr">
        <is>
          <t>Could</t>
        </is>
      </c>
      <c r="K9" s="3" t="inlineStr">
        <is>
          <t>Design: index (4).html #th, toggleTheme(), [data-theme=dark]; BRD: Helpdesk_BRD 1.0!R2 (dark theme out of scope)</t>
        </is>
      </c>
      <c r="L9" s="3" t="n"/>
      <c r="M9" s="3" t="inlineStr">
        <is>
          <t>Q-04</t>
        </is>
      </c>
      <c r="N9" s="3" t="inlineStr">
        <is>
          <t>Approved</t>
        </is>
      </c>
      <c r="O9" s="3" t="n"/>
    </row>
    <row r="10" ht="216" customHeight="1">
      <c r="A10" s="3" t="inlineStr">
        <is>
          <t>AC-ITH-09</t>
        </is>
      </c>
      <c r="B10" s="3" t="inlineStr">
        <is>
          <t>All screens</t>
        </is>
      </c>
      <c r="C10" s="3" t="inlineStr">
        <is>
          <t>All Users</t>
        </is>
      </c>
      <c r="D10" s="3" t="inlineStr">
        <is>
          <t>Look and feel of the accepted design</t>
        </is>
      </c>
      <c r="E10" s="3" t="inlineStr">
        <is>
          <t>The app looks like the accepted prototype: its colours, type, corner radii, spacing and chrome. With no brand guide, the prototype's colours are the brand.</t>
        </is>
      </c>
      <c r="F10" s="3" t="inlineStr">
        <is>
          <t>1. Colours match the prototype in each scheme: indigo accent, soft accent fill, card, page, border, text and muted text values as measured (specs/prototype-design.json).
2. Status and priority are shown as pill badges: a small dot and the word, in the colour for that value, on a tint of that colour. The colours match the prototype in both schemes.
3. Cards have a 1 px border, rounded corners and no shadow; only dropdown panels, the dialog and toasts have a shadow.
4. The page background is a flat colour; the sidebar and header are flat bands with a 1 px border.
5. Type sizes follow the prototype's scale (body, page heading, section heading, stat number, table head, small text), scaled to the app.
6. Every text and control boundary meets the contrast in STD-A11Y; where a prototype colour pair does not, the compliant variant is used and recorded as a deviation.</t>
        </is>
      </c>
      <c r="G10" s="3" t="inlineStr">
        <is>
          <t>ITHelp: App</t>
        </is>
      </c>
      <c r="H10" s="3" t="inlineStr">
        <is>
          <t>None</t>
        </is>
      </c>
      <c r="I10" s="3" t="inlineStr">
        <is>
          <t>UI</t>
        </is>
      </c>
      <c r="J10" s="3" t="inlineStr">
        <is>
          <t>Must</t>
        </is>
      </c>
      <c r="K10" s="3" t="inlineStr">
        <is>
          <t>Design: index (4).html :root, [data-theme=dark], .b, .card; specs/prototype-design.json</t>
        </is>
      </c>
      <c r="L10" s="3" t="n"/>
      <c r="M10" s="3" t="inlineStr">
        <is>
          <t>Q-02</t>
        </is>
      </c>
      <c r="N10" s="3" t="inlineStr">
        <is>
          <t>Approved</t>
        </is>
      </c>
      <c r="O10" s="3" t="n"/>
    </row>
    <row r="11" ht="115.2" customHeight="1">
      <c r="A11" s="3" t="inlineStr">
        <is>
          <t>AC-ITH-10</t>
        </is>
      </c>
      <c r="B11" s="3" t="inlineStr">
        <is>
          <t>All screens</t>
        </is>
      </c>
      <c r="C11" s="3" t="inlineStr">
        <is>
          <t>All Users</t>
        </is>
      </c>
      <c r="D11" s="3" t="inlineStr">
        <is>
          <t>Narrow window layout</t>
        </is>
      </c>
      <c r="E11" s="3" t="inlineStr">
        <is>
          <t>The prototype rearranges itself on narrower windows. The BRD puts mobile-specific layout design out of scope, so only the prototype's own rearrangements are drafted.</t>
        </is>
      </c>
      <c r="F11" s="3" t="inlineStr">
        <is>
          <t>1. Under the prototype's first breakpoint (900 px) the four stat cards on Overview become two per row and two-card rows stack to one column.
2. Under the prototype's second breakpoint (700 px) the Requester, Category, Assigned to and Created columns and the breadcrumb are hidden, and two-up form rows and detail grids become one column.
3. No separate phone layout is designed.
4. Animations (drawer slide, toast, sidebar width) are switched off when the device asks for reduced motion, where the platform allows.</t>
        </is>
      </c>
      <c r="G11" s="3" t="inlineStr">
        <is>
          <t>ITHelp: App</t>
        </is>
      </c>
      <c r="H11" s="3" t="inlineStr">
        <is>
          <t>None</t>
        </is>
      </c>
      <c r="I11" s="3" t="inlineStr">
        <is>
          <t>UI</t>
        </is>
      </c>
      <c r="J11" s="3" t="inlineStr">
        <is>
          <t>Could</t>
        </is>
      </c>
      <c r="K11" s="3" t="inlineStr">
        <is>
          <t>Design: index (4).html @media rules; BRD: Helpdesk_BRD 1.0!R2 (mobile-specific layout out of scope)</t>
        </is>
      </c>
      <c r="L11" s="3" t="n"/>
      <c r="M11" s="3" t="inlineStr">
        <is>
          <t>Q-04</t>
        </is>
      </c>
      <c r="N11" s="3" t="inlineStr">
        <is>
          <t>Approved</t>
        </is>
      </c>
      <c r="O11" s="3" t="n"/>
    </row>
    <row r="12" ht="144" customHeight="1">
      <c r="A12" s="3" t="inlineStr">
        <is>
          <t>AC-ITH-11</t>
        </is>
      </c>
      <c r="B12" s="3" t="inlineStr">
        <is>
          <t>Overview - summary cards</t>
        </is>
      </c>
      <c r="C12" s="3" t="inlineStr">
        <is>
          <t>All Users</t>
        </is>
      </c>
      <c r="D12" s="3" t="inlineStr">
        <is>
          <t>Overview summary cards</t>
        </is>
      </c>
      <c r="E12" s="3" t="inlineStr">
        <is>
          <t>The Overview shows four counts so users see the state of the helpdesk at a glance.</t>
        </is>
      </c>
      <c r="F12" s="3" t="inlineStr">
        <is>
          <t>1. Four cards in one row show, in this order: "Total tickets", "Open", "In progress", "Resolved today".
2. "Total tickets" counts every ticket the user may see; "Open" counts those with status Open; "In progress" those with status In Progress; "Resolved today" those with status Resolved that were last updated today.
3. A requester's counts cover only the tickets they raised; a technician's and administrator's counts cover all tickets.
4. The counts are calculated in the app from the ticket list; no separate figures are stored.</t>
        </is>
      </c>
      <c r="G12" s="3" t="inlineStr">
        <is>
          <t>ITHelp: scrOverview</t>
        </is>
      </c>
      <c r="H12" s="3" t="inlineStr">
        <is>
          <t>ITH_Tickets: TicketStatus, RequesterEmail, Modified</t>
        </is>
      </c>
      <c r="I12" s="3" t="inlineStr">
        <is>
          <t>Functional</t>
        </is>
      </c>
      <c r="J12" s="3" t="inlineStr">
        <is>
          <t>Must</t>
        </is>
      </c>
      <c r="K12" s="3" t="inlineStr">
        <is>
          <t>BRD: Helpdesk_BRD 1.0!R4; Design: index (4).html overview()</t>
        </is>
      </c>
      <c r="L12" s="3" t="n"/>
      <c r="M12" s="3" t="inlineStr">
        <is>
          <t>Q-06</t>
        </is>
      </c>
      <c r="N12" s="3" t="inlineStr">
        <is>
          <t>Approved</t>
        </is>
      </c>
      <c r="O12" s="3" t="n"/>
    </row>
    <row r="13" ht="187.2" customHeight="1">
      <c r="A13" s="3" t="inlineStr">
        <is>
          <t>AC-ITH-12</t>
        </is>
      </c>
      <c r="B13" s="3" t="inlineStr">
        <is>
          <t>Overview - ticket lists</t>
        </is>
      </c>
      <c r="C13" s="3" t="inlineStr">
        <is>
          <t>All Users</t>
        </is>
      </c>
      <c r="D13" s="3" t="inlineStr">
        <is>
          <t>Recent tickets and my assigned tickets</t>
        </is>
      </c>
      <c r="E13" s="3" t="inlineStr">
        <is>
          <t>The Overview lists the newest tickets and the tickets assigned to the signed-in technician, each openable.</t>
        </is>
      </c>
      <c r="F13" s="3" t="inlineStr">
        <is>
          <t>1. The card "Recent tickets" lists the 6 most recently created tickets, newest first, each row showing ticket ID, subject, priority badge and status badge.
2. The card "My assigned tickets" lists up to 5 tickets assigned to the signed-in user whose status is not Resolved or Closed, each row in the same form.
3. Each card has a small "View all" button: on "Recent tickets" it opens All tickets, on "My assigned tickets" it opens Assigned to me.
4. Selecting a row, or pressing Enter on it, opens the ticket's detail (AC-ITH-24).
5. A card with no tickets shows "Nothing here yet."
6. A requester sees only their own tickets in "Recent tickets"; the card "My assigned tickets" lists nothing for a requester.</t>
        </is>
      </c>
      <c r="G13" s="3" t="inlineStr">
        <is>
          <t>ITHelp: scrOverview</t>
        </is>
      </c>
      <c r="H13" s="3" t="inlineStr">
        <is>
          <t>ITH_Tickets: Title, Category, Priority, TicketStatus, AssignedToEmail, Created</t>
        </is>
      </c>
      <c r="I13" s="3" t="inlineStr">
        <is>
          <t>Functional</t>
        </is>
      </c>
      <c r="J13" s="3" t="inlineStr">
        <is>
          <t>Must</t>
        </is>
      </c>
      <c r="K13" s="3" t="inlineStr">
        <is>
          <t>BRD: Helpdesk_BRD 1.0!R4; Design: index (4).html overview(), mini()</t>
        </is>
      </c>
      <c r="L13" s="3" t="n"/>
      <c r="M13" s="3" t="inlineStr">
        <is>
          <t>Q-06</t>
        </is>
      </c>
      <c r="N13" s="3" t="inlineStr">
        <is>
          <t>Approved</t>
        </is>
      </c>
      <c r="O13" s="3" t="n"/>
    </row>
    <row r="14" ht="144" customHeight="1">
      <c r="A14" s="3" t="inlineStr">
        <is>
          <t>AC-ITH-13</t>
        </is>
      </c>
      <c r="B14" s="3" t="inlineStr">
        <is>
          <t>Overview - summaries</t>
        </is>
      </c>
      <c r="C14" s="3" t="inlineStr">
        <is>
          <t>All Users</t>
        </is>
      </c>
      <c r="D14" s="3" t="inlineStr">
        <is>
          <t>Tickets by status and by priority</t>
        </is>
      </c>
      <c r="E14" s="3" t="inlineStr">
        <is>
          <t>Two simple summaries show how tickets are spread over status and priority. They are built with app controls, not Power BI.</t>
        </is>
      </c>
      <c r="F14" s="3" t="inlineStr">
        <is>
          <t>1. "Tickets by status" shows one row each for Open, In Progress, On Hold, Resolved and Closed: the status name, a horizontal bar whose length is that status's share of all tickets, and the count.
2. "Tickets by priority" shows one bar split into Low, Medium, High and Critical in proportion to their counts, with a legend below reading "&lt;Priority&gt; &lt;count&gt;".
3. The bar colours are the status and priority colours of AC-ITH-09.
4. The priority bar has a text alternative giving the same counts, so it is not understood by colour alone.
5. With no tickets the bars are empty and the counts read 0.</t>
        </is>
      </c>
      <c r="G14" s="3" t="inlineStr">
        <is>
          <t>ITHelp: scrOverview</t>
        </is>
      </c>
      <c r="H14" s="3" t="inlineStr">
        <is>
          <t>ITH_Tickets: TicketStatus, Priority</t>
        </is>
      </c>
      <c r="I14" s="3" t="inlineStr">
        <is>
          <t>UI</t>
        </is>
      </c>
      <c r="J14" s="3" t="inlineStr">
        <is>
          <t>Must</t>
        </is>
      </c>
      <c r="K14" s="3" t="inlineStr">
        <is>
          <t>BRD: Helpdesk_BRD 1.0!R4; Design: index (4).html overview() .br, .stk</t>
        </is>
      </c>
      <c r="L14" s="3" t="n"/>
      <c r="M14" s="3" t="n"/>
      <c r="N14" s="3" t="inlineStr">
        <is>
          <t>Approved</t>
        </is>
      </c>
      <c r="O14" s="3" t="n"/>
    </row>
    <row r="15" ht="72" customHeight="1">
      <c r="A15" s="3" t="inlineStr">
        <is>
          <t>AC-ITH-14</t>
        </is>
      </c>
      <c r="B15" s="3" t="inlineStr">
        <is>
          <t>Overview - activity</t>
        </is>
      </c>
      <c r="C15" s="3" t="inlineStr">
        <is>
          <t>All Users</t>
        </is>
      </c>
      <c r="D15" s="3" t="inlineStr">
        <is>
          <t>Recent activity feed</t>
        </is>
      </c>
      <c r="E15" s="3" t="inlineStr">
        <is>
          <t>The Overview ends with a feed of the latest events on tickets.</t>
        </is>
      </c>
      <c r="F15" s="3" t="inlineStr">
        <is>
          <t>1. The card "Recent activity" lists the 7 latest activity entries across the tickets the user may see, newest first.
2. Each entry shows a small accent dot, the entry text, and under it "&lt;ticket ID&gt; · &lt;relative time&gt;".
3. With no activity the card shows an empty state saying so.</t>
        </is>
      </c>
      <c r="G15" s="3" t="inlineStr">
        <is>
          <t>ITHelp: scrOverview</t>
        </is>
      </c>
      <c r="H15" s="3" t="inlineStr">
        <is>
          <t>ITH_TicketActivity: TicketId, ActivityText, Created</t>
        </is>
      </c>
      <c r="I15" s="3" t="inlineStr">
        <is>
          <t>Functional</t>
        </is>
      </c>
      <c r="J15" s="3" t="inlineStr">
        <is>
          <t>Should</t>
        </is>
      </c>
      <c r="K15" s="3" t="inlineStr">
        <is>
          <t>BRD: Helpdesk_BRD 1.0!R4; Design: index (4).html overview() feed(7)</t>
        </is>
      </c>
      <c r="L15" s="3" t="n"/>
      <c r="M15" s="3" t="inlineStr">
        <is>
          <t>Q-18</t>
        </is>
      </c>
      <c r="N15" s="3" t="inlineStr">
        <is>
          <t>Approved</t>
        </is>
      </c>
      <c r="O15" s="3" t="n"/>
    </row>
    <row r="16" ht="187.2" customHeight="1">
      <c r="A16" s="3" t="inlineStr">
        <is>
          <t>AC-ITH-15</t>
        </is>
      </c>
      <c r="B16" s="3" t="inlineStr">
        <is>
          <t>Ticket list</t>
        </is>
      </c>
      <c r="C16" s="3" t="inlineStr">
        <is>
          <t>All Users</t>
        </is>
      </c>
      <c r="D16" s="3" t="inlineStr">
        <is>
          <t>Ticket list</t>
        </is>
      </c>
      <c r="E16" s="3" t="inlineStr">
        <is>
          <t>All tickets lists every ticket the user may see in a table.</t>
        </is>
      </c>
      <c r="F16" s="3" t="inlineStr">
        <is>
          <t>1. The screen has the heading "All tickets" and the line "Every ticket in the helpdesk."
2. The table columns, in order, are "Ticket ID", "Subject", "Requester", "Category", "Priority", "Assigned to", "Status", "Created" and "Actions".
3. Each row shows the ticket ID (accent colour), the subject (cut off with an ellipsis when long), requester name, category, priority badge, the assignee's name or "Unassigned" in muted text, status badge, and the created date as "dd Mon yyyy" (for example 05 Oct 2026).
4. By default tickets are sorted by Created, newest first.
5. Selecting a row, or pressing Enter on it, opens the ticket's detail (AC-ITH-24).
6. A requester sees only their own tickets; technicians and administrators see all tickets.</t>
        </is>
      </c>
      <c r="G16" s="3" t="inlineStr">
        <is>
          <t>ITHelp: scrTickets</t>
        </is>
      </c>
      <c r="H16" s="3" t="inlineStr">
        <is>
          <t>ITH_Tickets: Title, RequesterName, RequesterEmail, Category, Priority, AssignedToName, TicketStatus, Created</t>
        </is>
      </c>
      <c r="I16" s="3" t="inlineStr">
        <is>
          <t>Functional</t>
        </is>
      </c>
      <c r="J16" s="3" t="inlineStr">
        <is>
          <t>Must</t>
        </is>
      </c>
      <c r="K16" s="3" t="inlineStr">
        <is>
          <t>BRD: Helpdesk_BRD 1.0!R5, R20; Design: index (4).html listPage(), renderTable()</t>
        </is>
      </c>
      <c r="L16" s="3" t="n"/>
      <c r="M16" s="3" t="inlineStr">
        <is>
          <t>Q-07</t>
        </is>
      </c>
      <c r="N16" s="3" t="inlineStr">
        <is>
          <t>Approved</t>
        </is>
      </c>
      <c r="O16" s="3" t="n"/>
    </row>
    <row r="17" ht="201.6" customHeight="1">
      <c r="A17" s="3" t="inlineStr">
        <is>
          <t>AC-ITH-16</t>
        </is>
      </c>
      <c r="B17" s="3" t="inlineStr">
        <is>
          <t>Ticket list - search and filters</t>
        </is>
      </c>
      <c r="C17" s="3" t="inlineStr">
        <is>
          <t>All Users</t>
        </is>
      </c>
      <c r="D17" s="3" t="inlineStr">
        <is>
          <t>Search and filters</t>
        </is>
      </c>
      <c r="E17" s="3" t="inlineStr">
        <is>
          <t>Users narrow the list by text, status, priority and category.</t>
        </is>
      </c>
      <c r="F17" s="3" t="inlineStr">
        <is>
          <t>1. A search box with the placeholder "Search by ID or subject" keeps tickets whose ID or subject contains the text, ignoring case.
2. Three drop-downs filter by status (first option "All statuses", then Open, In Progress, On Hold, Resolved, Closed), priority ("All priorities", then Low, Medium, High, Critical) and category ("All categories", then Hardware, Software, Network, Access, Other). Their accessible names are "Status", "Priority" and "Category".
3. The search and the three filters combine: a ticket shows only if it passes all of them.
4. Changing the search or any filter returns the list to page 1.
5. The button "Clear filters" empties the search and the three filters (and the header search box) and returns to page 1.
6. The drop-down options come from the SharePoint master data lists (AC-ITH-38), in their sort order.</t>
        </is>
      </c>
      <c r="G17" s="3" t="inlineStr">
        <is>
          <t>ITHelp: scrTickets</t>
        </is>
      </c>
      <c r="H17" s="3" t="inlineStr">
        <is>
          <t>ITH_Tickets: Title, TicketStatus, Priority, Category; ITH_Statuses: Title, SortOrder; ITH_Priorities: Title, SortOrder; ITH_Categories: Title, SortOrder</t>
        </is>
      </c>
      <c r="I17" s="3" t="inlineStr">
        <is>
          <t>Functional</t>
        </is>
      </c>
      <c r="J17" s="3" t="inlineStr">
        <is>
          <t>Must</t>
        </is>
      </c>
      <c r="K17" s="3" t="inlineStr">
        <is>
          <t>BRD: Helpdesk_BRD 1.0!R5; Design: index (4).html listPage(), clr()</t>
        </is>
      </c>
      <c r="L17" s="3" t="n"/>
      <c r="M17" s="3" t="inlineStr">
        <is>
          <t>Q-07</t>
        </is>
      </c>
      <c r="N17" s="3" t="inlineStr">
        <is>
          <t>Approved</t>
        </is>
      </c>
      <c r="O17" s="3" t="n"/>
    </row>
    <row r="18" ht="158.4" customHeight="1">
      <c r="A18" s="3" t="inlineStr">
        <is>
          <t>AC-ITH-17</t>
        </is>
      </c>
      <c r="B18" s="3" t="inlineStr">
        <is>
          <t>Ticket list - sort and paging</t>
        </is>
      </c>
      <c r="C18" s="3" t="inlineStr">
        <is>
          <t>All Users</t>
        </is>
      </c>
      <c r="D18" s="3" t="inlineStr">
        <is>
          <t>Sorting and paging</t>
        </is>
      </c>
      <c r="E18" s="3" t="inlineStr">
        <is>
          <t>Users sort by the key columns and choose how many rows to see.</t>
        </is>
      </c>
      <c r="F18" s="3" t="inlineStr">
        <is>
          <t>1. Selecting a column header (all but "Actions") sorts by it ascending; selecting it again reverses it. The active header shows "▲" or "▼" and reports its sort order to a screen reader.
2. Ticket ID sorts by its number, not as text; Priority sorts Low, Medium, High, Critical and Status sorts Open, In Progress, On Hold, Resolved, Closed (list order), not alphabetically.
3. A footer shows "&lt;first&gt;–&lt;last&gt; of &lt;total&gt;", a "Rows" drop-down with 5, 10 and 25 (10 by default), buttons "Previous page" and "Next page" and "&lt;page&gt; / &lt;pages&gt;".
4. "Previous page" is disabled on page 1 and "Next page" on the last page.
5. Changing the page size returns to page 1.</t>
        </is>
      </c>
      <c r="G18" s="3" t="inlineStr">
        <is>
          <t>ITHelp: scrTickets</t>
        </is>
      </c>
      <c r="H18" s="3" t="inlineStr">
        <is>
          <t>ITH_Tickets: Title, Priority, TicketStatus, Created</t>
        </is>
      </c>
      <c r="I18" s="3" t="inlineStr">
        <is>
          <t>Functional</t>
        </is>
      </c>
      <c r="J18" s="3" t="inlineStr">
        <is>
          <t>Must</t>
        </is>
      </c>
      <c r="K18" s="3" t="inlineStr">
        <is>
          <t>BRD: Helpdesk_BRD 1.0!R5; Design: index (4).html sortBy(), sv(), .pg</t>
        </is>
      </c>
      <c r="L18" s="3" t="n"/>
      <c r="M18" s="3" t="inlineStr">
        <is>
          <t>Q-07</t>
        </is>
      </c>
      <c r="N18" s="3" t="inlineStr">
        <is>
          <t>Approved</t>
        </is>
      </c>
      <c r="O18" s="3" t="n"/>
    </row>
    <row r="19" ht="187.2" customHeight="1">
      <c r="A19" s="3" t="inlineStr">
        <is>
          <t>AC-ITH-18</t>
        </is>
      </c>
      <c r="B19" s="3" t="inlineStr">
        <is>
          <t>Ticket list - empty and row actions</t>
        </is>
      </c>
      <c r="C19" s="3" t="inlineStr">
        <is>
          <t>All Users</t>
        </is>
      </c>
      <c r="D19" s="3" t="inlineStr">
        <is>
          <t>Empty list and row actions</t>
        </is>
      </c>
      <c r="E19" s="3" t="inlineStr">
        <is>
          <t>The list says clearly when it has nothing to show, and each row offers quick edit and delete where the user's role allows.</t>
        </is>
      </c>
      <c r="F19" s="3" t="inlineStr">
        <is>
          <t>1. When filters or search leave no ticket, the list shows an inbox icon, "No tickets match your filters", "Try a different search or clear the filters." and a "Clear filters" button.
2. When there are no tickets and no filter is set, the list shows "No tickets here yet", "Create a ticket to get started." and a primary "Create ticket" button.
3. Each row has two icon buttons with accessible names "Edit &lt;ticket ID&gt;" and "Delete &lt;ticket ID&gt;"; selecting one does not open the detail.
4. "Edit" opens the edit form (AC-ITH-26); "Delete" opens the delete confirmation (AC-ITH-30).
5. The edit button shows only to users who may edit (AC-ITH-26) and the delete button only to Administrators; the SharePoint list permissions are what enforce it (STD-PERM).</t>
        </is>
      </c>
      <c r="G19" s="3" t="inlineStr">
        <is>
          <t>ITHelp: scrTickets</t>
        </is>
      </c>
      <c r="H19" s="3" t="inlineStr">
        <is>
          <t>ITH_Tickets: Title</t>
        </is>
      </c>
      <c r="I19" s="3" t="inlineStr">
        <is>
          <t>UI</t>
        </is>
      </c>
      <c r="J19" s="3" t="inlineStr">
        <is>
          <t>Must</t>
        </is>
      </c>
      <c r="K19" s="3" t="inlineStr">
        <is>
          <t>BRD: Helpdesk_BRD 1.0!R5; Design: index (4).html renderTable()</t>
        </is>
      </c>
      <c r="L19" s="3" t="n"/>
      <c r="M19" s="3" t="inlineStr">
        <is>
          <t>Q-08</t>
        </is>
      </c>
      <c r="N19" s="3" t="inlineStr">
        <is>
          <t>Approved</t>
        </is>
      </c>
      <c r="O19" s="3" t="n"/>
    </row>
    <row r="20" ht="129.6" customHeight="1">
      <c r="A20" s="3" t="inlineStr">
        <is>
          <t>AC-ITH-19</t>
        </is>
      </c>
      <c r="B20" s="3" t="inlineStr">
        <is>
          <t>My tickets and Assigned to me</t>
        </is>
      </c>
      <c r="C20" s="3" t="inlineStr">
        <is>
          <t>All Users</t>
        </is>
      </c>
      <c r="D20" s="3" t="inlineStr">
        <is>
          <t>My tickets and Assigned to me</t>
        </is>
      </c>
      <c r="E20" s="3" t="inlineStr">
        <is>
          <t>Two filtered views of the ticket list show the user's own work.</t>
        </is>
      </c>
      <c r="F20" s="3" t="inlineStr">
        <is>
          <t>1. "My tickets" has the line "Tickets you submitted as &lt;the signed-in user's full name&gt;." and lists tickets whose requester email is the signed-in user's.
2. "Assigned to me" has the line "Tickets assigned to you." and lists tickets assigned to the signed-in technician, including Resolved and Closed ones.
3. Both views have the same search, filters, sorting, paging, row actions and empty states as All tickets (AC-ITH-16 to AC-ITH-18).
4. The current view is highlighted in the sidebar (AC-ITH-02).
5. Team or group queues are not built; the signed-in user is read from their Microsoft 365 profile.</t>
        </is>
      </c>
      <c r="G20" s="3" t="inlineStr">
        <is>
          <t>ITHelp: scrTickets</t>
        </is>
      </c>
      <c r="H20" s="3" t="inlineStr">
        <is>
          <t>ITH_Tickets: RequesterEmail, AssignedToEmail</t>
        </is>
      </c>
      <c r="I20" s="3" t="inlineStr">
        <is>
          <t>Functional</t>
        </is>
      </c>
      <c r="J20" s="3" t="inlineStr">
        <is>
          <t>Must</t>
        </is>
      </c>
      <c r="K20" s="3" t="inlineStr">
        <is>
          <t>BRD: Helpdesk_BRD 1.0!R15; Design: index (4).html listPage(), mine(), asg(), DESC</t>
        </is>
      </c>
      <c r="L20" s="3" t="n"/>
      <c r="M20" s="3" t="inlineStr">
        <is>
          <t>Q-13</t>
        </is>
      </c>
      <c r="N20" s="3" t="inlineStr">
        <is>
          <t>Approved</t>
        </is>
      </c>
      <c r="O20" s="3" t="n"/>
    </row>
    <row r="21" ht="302.4" customHeight="1">
      <c r="A21" s="3" t="inlineStr">
        <is>
          <t>AC-ITH-20</t>
        </is>
      </c>
      <c r="B21" s="3" t="inlineStr">
        <is>
          <t>Create and edit ticket form</t>
        </is>
      </c>
      <c r="C21" s="3" t="inlineStr">
        <is>
          <t>Requester, Technician, Administrator</t>
        </is>
      </c>
      <c r="D21" s="3" t="inlineStr">
        <is>
          <t>Create ticket form</t>
        </is>
      </c>
      <c r="E21" s="3" t="inlineStr">
        <is>
          <t>Users raise a ticket by filling in one form that opens over the current screen.</t>
        </is>
      </c>
      <c r="F21" s="3" t="inlineStr">
        <is>
          <t>1. The form opens from "Create ticket" in the header, the list's empty state, the knowledge base article and, for edit, a row's edit button or the detail's "Edit" button. Its title is "Create ticket" or "Edit &lt;ticket ID&gt;".
2. The form asks for: "Ticket subject *" (placeholder "Short summary of the issue"), "Description *" (4 lines, placeholder "What happened, and what did you expect?"), "Category", "Priority", "Requester name", "Requester email", "Assign to (optional)" and, on create only, "Attachments".
3. "Category" offers Hardware, Software, Network, Access, Other and defaults to Software; "Priority" offers Low, Medium, High, Critical and defaults to Medium.
4. "Requester name" and "Requester email" default to the signed-in user. Technicians and administrators may change them to raise a ticket for someone else; requesters cannot.
5. "Assign to (optional)" offers "Unassigned" (the default) and the technicians from the technician list (AC-ITH-31).
6. The buttons are "Cancel" and a primary "Create ticket" (or "Save changes" when editing). "Cancel", the close button (accessible name "Close"), selecting outside the form and pressing Escape close it without saving.
7. On opening, focus is in the subject field.</t>
        </is>
      </c>
      <c r="G21" s="3" t="inlineStr">
        <is>
          <t>ITHelp: scrNewTicket</t>
        </is>
      </c>
      <c r="H21" s="3" t="inlineStr">
        <is>
          <t>ITH_Tickets: Title, TicketDescription, Category, Priority, RequesterName, RequesterEmail, AssignedToName, AssignedToEmail</t>
        </is>
      </c>
      <c r="I21" s="3" t="inlineStr">
        <is>
          <t>UI</t>
        </is>
      </c>
      <c r="J21" s="3" t="inlineStr">
        <is>
          <t>Must</t>
        </is>
      </c>
      <c r="K21" s="3" t="inlineStr">
        <is>
          <t>BRD: Helpdesk_BRD 1.0!R6; Design: index (4).html openForm(), saveForm()</t>
        </is>
      </c>
      <c r="L21" s="3" t="n"/>
      <c r="M21" s="3" t="inlineStr">
        <is>
          <t>Q-09, Q-21</t>
        </is>
      </c>
      <c r="N21" s="3" t="inlineStr">
        <is>
          <t>Approved</t>
        </is>
      </c>
      <c r="O21" s="3" t="n"/>
    </row>
    <row r="22" ht="201.6" customHeight="1">
      <c r="A22" s="3" t="inlineStr">
        <is>
          <t>AC-ITH-21</t>
        </is>
      </c>
      <c r="B22" s="3" t="inlineStr">
        <is>
          <t>Create ticket - result</t>
        </is>
      </c>
      <c r="C22" s="3" t="inlineStr">
        <is>
          <t>Requester, Technician, Administrator</t>
        </is>
      </c>
      <c r="D22" s="3" t="inlineStr">
        <is>
          <t>Ticket creation</t>
        </is>
      </c>
      <c r="E22" s="3" t="inlineStr">
        <is>
          <t>Saving a new ticket gives it an ID and a first status and tells the user it worked.</t>
        </is>
      </c>
      <c r="F22" s="3" t="inlineStr">
        <is>
          <t>1. A new ticket gets an ID of the form "HD-" followed by a number, for example HD-1001, generated automatically and never shown as editable.
2. No two tickets ever get the same ID, even when two users save at the same moment.
3. The status of a new ticket is "Open"; its created and last-updated times are the time of saving.
4. If no assignee was chosen the ticket is "Unassigned".
5. After saving, the form closes, the current list refreshes and a message reads "&lt;ticket ID&gt; created".
6. The activity timeline gets "&lt;requester name&gt; created the ticket" and, when an assignee was chosen, "&lt;signed-in user&gt; assigned the ticket to &lt;assignee&gt;".
7. If saving fails, the form stays open with what the user typed and says what failed (STD-STATES).</t>
        </is>
      </c>
      <c r="G22" s="3" t="inlineStr">
        <is>
          <t>ITHelp: scrNewTicket</t>
        </is>
      </c>
      <c r="H22" s="3" t="inlineStr">
        <is>
          <t>ITH_Tickets: Title, TicketStatus, Created, Modified; ITH_TicketActivity: TicketId, ActivityText, Created</t>
        </is>
      </c>
      <c r="I22" s="3" t="inlineStr">
        <is>
          <t>Functional</t>
        </is>
      </c>
      <c r="J22" s="3" t="inlineStr">
        <is>
          <t>Must</t>
        </is>
      </c>
      <c r="K22" s="3" t="inlineStr">
        <is>
          <t>BRD: Helpdesk_BRD 1.0!R6; Design: index (4).html saveForm()</t>
        </is>
      </c>
      <c r="L22" s="3" t="n"/>
      <c r="M22" s="3" t="inlineStr">
        <is>
          <t>Q-09, Q-10</t>
        </is>
      </c>
      <c r="N22" s="3" t="inlineStr">
        <is>
          <t>Approved</t>
        </is>
      </c>
      <c r="O22" s="3" t="n"/>
    </row>
    <row r="23" ht="201.6" customHeight="1">
      <c r="A23" s="3" t="inlineStr">
        <is>
          <t>AC-ITH-22</t>
        </is>
      </c>
      <c r="B23" s="3" t="inlineStr">
        <is>
          <t>Create and edit ticket form</t>
        </is>
      </c>
      <c r="C23" s="3" t="inlineStr">
        <is>
          <t>Requester, Technician, Administrator</t>
        </is>
      </c>
      <c r="D23" s="3" t="inlineStr">
        <is>
          <t>Ticket validation</t>
        </is>
      </c>
      <c r="E23" s="3" t="inlineStr">
        <is>
          <t>The form checks the entries with messages next to the fields, and a ticket with errors is not saved.</t>
        </is>
      </c>
      <c r="F23" s="3" t="inlineStr">
        <is>
          <t>1. Selecting the primary button with the subject empty (or only spaces) shows "Enter a subject." under the subject field.
2. With the description empty (or only spaces) it shows "Describe the issue." under the description field.
3. With a requester email entered that is not a valid email address, it shows "Enter a valid email address." under that field. An empty email is allowed and falls back to the signed-in user's email.
4. A field with an error has a red border; the messages are announced to a screen reader and not shown by colour alone.
5. While any message shows, nothing is saved and the form stays open; fixing the field and selecting the button again clears its message.
6. A blank requester name falls back to the signed-in user's name.
7. Further rules (length limits, duplicate detection, mandatory fields by category) are not built; they would be a change request.</t>
        </is>
      </c>
      <c r="G23" s="3" t="inlineStr">
        <is>
          <t>ITHelp: scrNewTicket</t>
        </is>
      </c>
      <c r="H23" s="3" t="inlineStr">
        <is>
          <t>ITH_Tickets: Title, TicketDescription, RequesterEmail</t>
        </is>
      </c>
      <c r="I23" s="3" t="inlineStr">
        <is>
          <t>Functional</t>
        </is>
      </c>
      <c r="J23" s="3" t="inlineStr">
        <is>
          <t>Must</t>
        </is>
      </c>
      <c r="K23" s="3" t="inlineStr">
        <is>
          <t>BRD: Helpdesk_BRD 1.0!R7; Design: index (4).html saveForm()</t>
        </is>
      </c>
      <c r="L23" s="3" t="n"/>
      <c r="M23" s="3" t="inlineStr">
        <is>
          <t>Q-13</t>
        </is>
      </c>
      <c r="N23" s="3" t="inlineStr">
        <is>
          <t>Approved</t>
        </is>
      </c>
      <c r="O23" s="3" t="n"/>
    </row>
    <row r="24" ht="172.8" customHeight="1">
      <c r="A24" s="3" t="inlineStr">
        <is>
          <t>AC-ITH-23</t>
        </is>
      </c>
      <c r="B24" s="3" t="inlineStr">
        <is>
          <t>Ticket attachments</t>
        </is>
      </c>
      <c r="C24" s="3" t="inlineStr">
        <is>
          <t>Requester, Technician, Administrator</t>
        </is>
      </c>
      <c r="D24" s="3" t="inlineStr">
        <is>
          <t>Ticket attachments</t>
        </is>
      </c>
      <c r="E24" s="3" t="inlineStr">
        <is>
          <t>Users attach files to a ticket when they raise it, and see them on the ticket. The prototype only simulates this.</t>
        </is>
      </c>
      <c r="F24" s="3" t="inlineStr">
        <is>
          <t>1. The create form has an "Attachments" field that accepts one or more files.
2. The files are stored in SharePoint against the ticket; they are really saved, not only their names.
3. The ticket's detail lists each attachment with its file name and size, for example "screenshot.png 184 KB"; with none it says "No attachments."
4. The help text "Simulated: file names are saved, files are not uploaded." is not shown.
5. A file larger than the allowed size, or of a type not allowed, is refused with a message naming the problem.
6. Not built: virus scanning, in-app preview, and attachments on comments.</t>
        </is>
      </c>
      <c r="G24" s="3" t="inlineStr">
        <is>
          <t>ITHelp: scrNewTicket</t>
        </is>
      </c>
      <c r="H24" s="3" t="inlineStr">
        <is>
          <t>ITH_Tickets: attachments</t>
        </is>
      </c>
      <c r="I24" s="3" t="inlineStr">
        <is>
          <t>Functional</t>
        </is>
      </c>
      <c r="J24" s="3" t="inlineStr">
        <is>
          <t>Must</t>
        </is>
      </c>
      <c r="K24" s="3" t="inlineStr">
        <is>
          <t>BRD: Helpdesk_BRD 1.0!R8; Design: index (4).html #f_att, drawer()</t>
        </is>
      </c>
      <c r="L24" s="3" t="n"/>
      <c r="M24" s="3" t="inlineStr">
        <is>
          <t>Q-14</t>
        </is>
      </c>
      <c r="N24" s="3" t="inlineStr">
        <is>
          <t>Approved</t>
        </is>
      </c>
      <c r="O24" s="3" t="n"/>
    </row>
    <row r="25" ht="187.2" customHeight="1">
      <c r="A25" s="3" t="inlineStr">
        <is>
          <t>AC-ITH-24</t>
        </is>
      </c>
      <c r="B25" s="3" t="inlineStr">
        <is>
          <t>Ticket detail</t>
        </is>
      </c>
      <c r="C25" s="3" t="inlineStr">
        <is>
          <t>All Users</t>
        </is>
      </c>
      <c r="D25" s="3" t="inlineStr">
        <is>
          <t>Ticket detail view</t>
        </is>
      </c>
      <c r="E25" s="3" t="inlineStr">
        <is>
          <t>Selecting a ticket opens a detail panel with everything about it.</t>
        </is>
      </c>
      <c r="F25" s="3" t="inlineStr">
        <is>
          <t>1. The detail opens as a panel on the right of the current screen over a dimmed background; selecting outside it, its close button (accessible name "Close panel") or pressing Escape closes it.
2. At the top it shows the ticket ID and the subject as a heading, with the status and priority badges below.
3. A grid shows "Status", "Priority", "Assigned technician", "Category", "Requester" (name and, beneath, email), "Created" and, beneath it, "Last updated" as "dd Mon yyyy, hh:mm".
4. Below the grid are sections "Description" (line breaks kept), "Attachments", "Comments (&lt;count&gt;)" and "Activity".
5. A requester can open only tickets they raised; technicians and administrators can open any ticket.
6. Related tickets and linking tickets together are not built.</t>
        </is>
      </c>
      <c r="G25" s="3" t="inlineStr">
        <is>
          <t>ITHelp: scrTicket</t>
        </is>
      </c>
      <c r="H25" s="3" t="inlineStr">
        <is>
          <t>ITH_Tickets: Title, TicketDescription, RequesterName, RequesterEmail, Category, Priority, TicketStatus, AssignedToName, Created, Modified</t>
        </is>
      </c>
      <c r="I25" s="3" t="inlineStr">
        <is>
          <t>UI</t>
        </is>
      </c>
      <c r="J25" s="3" t="inlineStr">
        <is>
          <t>Must</t>
        </is>
      </c>
      <c r="K25" s="3" t="inlineStr">
        <is>
          <t>BRD: Helpdesk_BRD 1.0!R9; Design: index (4).html drawer(), openT(), closeT()</t>
        </is>
      </c>
      <c r="L25" s="3" t="n"/>
      <c r="M25" s="3" t="inlineStr">
        <is>
          <t>Q-13</t>
        </is>
      </c>
      <c r="N25" s="3" t="inlineStr">
        <is>
          <t>Approved</t>
        </is>
      </c>
      <c r="O25" s="3" t="n"/>
    </row>
    <row r="26" ht="187.2" customHeight="1">
      <c r="A26" s="3" t="inlineStr">
        <is>
          <t>AC-ITH-25</t>
        </is>
      </c>
      <c r="B26" s="3" t="inlineStr">
        <is>
          <t>Ticket detail - changes</t>
        </is>
      </c>
      <c r="C26" s="3" t="inlineStr">
        <is>
          <t>Technician, Administrator</t>
        </is>
      </c>
      <c r="D26" s="3" t="inlineStr">
        <is>
          <t>Update status, priority and assignment</t>
        </is>
      </c>
      <c r="E26" s="3" t="inlineStr">
        <is>
          <t>Technicians change a ticket's status, priority and assignee straight from its detail.</t>
        </is>
      </c>
      <c r="F26" s="3" t="inlineStr">
        <is>
          <t>1. The detail's "Status" drop-down offers Open, In Progress, On Hold, Resolved, Closed; "Priority" offers Low, Medium, High, Critical; "Assigned technician" offers "Unassigned" and the technicians.
2. Choosing a different value saves at once; choosing the value already set does nothing.
3. Each change updates the ticket's "Last updated" time and adds an activity entry "&lt;signed-in user&gt; changed status to &lt;value&gt;", "changed priority to &lt;value&gt;" or "changed assignee to &lt;value or Unassigned&gt;".
4. A status change shows the message "&lt;ticket ID&gt; marked &lt;status&gt;"; any other change shows "Ticket updated".
5. Any status can be changed to any other, including reopening a Closed ticket; no transition is blocked.
6. Requesters see these values but cannot change them.</t>
        </is>
      </c>
      <c r="G26" s="3" t="inlineStr">
        <is>
          <t>ITHelp: scrTicket</t>
        </is>
      </c>
      <c r="H26" s="3" t="inlineStr">
        <is>
          <t>ITH_Tickets: TicketStatus, Priority, AssignedToName, AssignedToEmail, Modified; ITH_TicketActivity: TicketId, ActivityText</t>
        </is>
      </c>
      <c r="I26" s="3" t="inlineStr">
        <is>
          <t>Functional</t>
        </is>
      </c>
      <c r="J26" s="3" t="inlineStr">
        <is>
          <t>Must</t>
        </is>
      </c>
      <c r="K26" s="3" t="inlineStr">
        <is>
          <t>BRD: Helpdesk_BRD 1.0!R10; Design: index (4).html setF()</t>
        </is>
      </c>
      <c r="L26" s="3" t="n"/>
      <c r="M26" s="3" t="inlineStr">
        <is>
          <t>Q-13</t>
        </is>
      </c>
      <c r="N26" s="3" t="inlineStr">
        <is>
          <t>Approved</t>
        </is>
      </c>
      <c r="O26" s="3" t="n"/>
    </row>
    <row r="27" ht="158.4" customHeight="1">
      <c r="A27" s="3" t="inlineStr">
        <is>
          <t>AC-ITH-26</t>
        </is>
      </c>
      <c r="B27" s="3" t="inlineStr">
        <is>
          <t>Ticket detail - edit</t>
        </is>
      </c>
      <c r="C27" s="3" t="inlineStr">
        <is>
          <t>Technician, Administrator</t>
        </is>
      </c>
      <c r="D27" s="3" t="inlineStr">
        <is>
          <t>Edit ticket details</t>
        </is>
      </c>
      <c r="E27" s="3" t="inlineStr">
        <is>
          <t>Authorised users change a ticket's details after it has been created.</t>
        </is>
      </c>
      <c r="F27" s="3" t="inlineStr">
        <is>
          <t>1. The detail's "Edit" button, and a row's edit button, open the form of AC-ITH-20 filled with the ticket's current values and titled "Edit &lt;ticket ID&gt;".
2. Saving changes the subject, description, category, priority, requester name and email, and assignee, with the same checks as AC-ITH-22; the form has no "Attachments" field.
3. After saving, the activity timeline gets "&lt;signed-in user&gt; edited ticket details", "Last updated" changes, and the message "&lt;ticket ID&gt; updated" shows.
4. Only that the ticket was edited is recorded; the old and new values are not kept.
5. Who may edit: technicians and administrators.</t>
        </is>
      </c>
      <c r="G27" s="3" t="inlineStr">
        <is>
          <t>ITHelp: scrNewTicket</t>
        </is>
      </c>
      <c r="H27" s="3" t="inlineStr">
        <is>
          <t>ITH_Tickets: Title, TicketDescription, Category, Priority, RequesterName, RequesterEmail, AssignedToName, AssignedToEmail, Modified; ITH_TicketActivity: TicketId, ActivityText</t>
        </is>
      </c>
      <c r="I27" s="3" t="inlineStr">
        <is>
          <t>Functional</t>
        </is>
      </c>
      <c r="J27" s="3" t="inlineStr">
        <is>
          <t>Must</t>
        </is>
      </c>
      <c r="K27" s="3" t="inlineStr">
        <is>
          <t>BRD: Helpdesk_BRD 1.0!R11; Design: index (4).html openForm(id), saveForm()</t>
        </is>
      </c>
      <c r="L27" s="3" t="n"/>
      <c r="M27" s="3" t="inlineStr">
        <is>
          <t>Q-08</t>
        </is>
      </c>
      <c r="N27" s="3" t="inlineStr">
        <is>
          <t>Approved</t>
        </is>
      </c>
      <c r="O27" s="3" t="n"/>
    </row>
    <row r="28" ht="201.6" customHeight="1">
      <c r="A28" s="3" t="inlineStr">
        <is>
          <t>AC-ITH-27</t>
        </is>
      </c>
      <c r="B28" s="3" t="inlineStr">
        <is>
          <t>Ticket detail - comments</t>
        </is>
      </c>
      <c r="C28" s="3" t="inlineStr">
        <is>
          <t>All Users</t>
        </is>
      </c>
      <c r="D28" s="3" t="inlineStr">
        <is>
          <t>Comments</t>
        </is>
      </c>
      <c r="E28" s="3" t="inlineStr">
        <is>
          <t>People on a ticket add plain-text comments to talk about it.</t>
        </is>
      </c>
      <c r="F28" s="3" t="inlineStr">
        <is>
          <t>1. The "Comments (&lt;count&gt;)" section lists comments oldest first, each with the author's name in bold, the date and time, and the text with its line breaks kept; with none it says "No comments yet."
2. Below the comments, a multi-line box with the placeholder "Write a comment" (accessible name "Comment") and a primary "Add comment" button.
3. Selecting "Add comment" with the box empty (or only spaces) shows the error message "Write a comment before adding it." and adds nothing.
4. Otherwise the comment is saved with the signed-in user as author, the box is cleared, the message "Comment added" shows, the count goes up by one and the activity timeline gets "&lt;signed-in user&gt; added a comment".
5. Comments are plain text; mentions, rich text, files in comments and internal-only notes are not built.</t>
        </is>
      </c>
      <c r="G28" s="3" t="inlineStr">
        <is>
          <t>ITHelp: scrTicket</t>
        </is>
      </c>
      <c r="H28" s="3" t="inlineStr">
        <is>
          <t>ITH_TicketComments: TicketId, AuthorName, AuthorEmail, CommentText, Created; ITH_TicketActivity: TicketId, ActivityText</t>
        </is>
      </c>
      <c r="I28" s="3" t="inlineStr">
        <is>
          <t>Functional</t>
        </is>
      </c>
      <c r="J28" s="3" t="inlineStr">
        <is>
          <t>Must</t>
        </is>
      </c>
      <c r="K28" s="3" t="inlineStr">
        <is>
          <t>BRD: Helpdesk_BRD 1.0!R12; Design: index (4).html addC()</t>
        </is>
      </c>
      <c r="L28" s="3" t="n"/>
      <c r="M28" s="3" t="inlineStr">
        <is>
          <t>Q-13, Q-21</t>
        </is>
      </c>
      <c r="N28" s="3" t="inlineStr">
        <is>
          <t>Approved</t>
        </is>
      </c>
      <c r="O28" s="3" t="n"/>
    </row>
    <row r="29" ht="129.6" customHeight="1">
      <c r="A29" s="3" t="inlineStr">
        <is>
          <t>AC-ITH-28</t>
        </is>
      </c>
      <c r="B29" s="3" t="inlineStr">
        <is>
          <t>Ticket detail - activity</t>
        </is>
      </c>
      <c r="C29" s="3" t="inlineStr">
        <is>
          <t>All Users</t>
        </is>
      </c>
      <c r="D29" s="3" t="inlineStr">
        <is>
          <t>Activity timeline</t>
        </is>
      </c>
      <c r="E29" s="3" t="inlineStr">
        <is>
          <t>Every significant event on a ticket is recorded and shown as a timeline.</t>
        </is>
      </c>
      <c r="F29" s="3" t="inlineStr">
        <is>
          <t>1. The "Activity" section shows a vertical timeline, newest first, each entry with its text and, beneath, the date and time.
2. An entry is recorded for: ticket creation, assignment, status change, priority change, assignee change, edit and new comment, with the wording of AC-ITH-21, AC-ITH-25, AC-ITH-26 and AC-ITH-27.
3. Resolving and closing a ticket (AC-ITH-29) are recorded as status changes.
4. Entries cannot be edited or deleted by users, and they are removed only when their ticket is deleted (AC-ITH-30).</t>
        </is>
      </c>
      <c r="G29" s="3" t="inlineStr">
        <is>
          <t>ITHelp: scrTicket</t>
        </is>
      </c>
      <c r="H29" s="3" t="inlineStr">
        <is>
          <t>ITH_TicketActivity: TicketId, ActivityText, ActorName, Created</t>
        </is>
      </c>
      <c r="I29" s="3" t="inlineStr">
        <is>
          <t>Functional</t>
        </is>
      </c>
      <c r="J29" s="3" t="inlineStr">
        <is>
          <t>Must</t>
        </is>
      </c>
      <c r="K29" s="3" t="inlineStr">
        <is>
          <t>BRD: Helpdesk_BRD 1.0!R12; Design: index (4).html drawer() .tl, log()</t>
        </is>
      </c>
      <c r="L29" s="3" t="n"/>
      <c r="M29" s="3" t="inlineStr">
        <is>
          <t>Q-11</t>
        </is>
      </c>
      <c r="N29" s="3" t="inlineStr">
        <is>
          <t>Approved</t>
        </is>
      </c>
      <c r="O29" s="3" t="n"/>
    </row>
    <row r="30" ht="187.2" customHeight="1">
      <c r="A30" s="3" t="inlineStr">
        <is>
          <t>AC-ITH-29</t>
        </is>
      </c>
      <c r="B30" s="3" t="inlineStr">
        <is>
          <t>Ticket detail - resolve and close</t>
        </is>
      </c>
      <c r="C30" s="3" t="inlineStr">
        <is>
          <t>Technician, Administrator</t>
        </is>
      </c>
      <c r="D30" s="3" t="inlineStr">
        <is>
          <t>Resolve and close a ticket</t>
        </is>
      </c>
      <c r="E30" s="3" t="inlineStr">
        <is>
          <t>Technicians resolve a ticket when a fix is in place, and close it once confirmed.</t>
        </is>
      </c>
      <c r="F30" s="3" t="inlineStr">
        <is>
          <t>1. "Resolve" shows on a ticket whose status is Open, In Progress or On Hold; selecting it sets the status to Resolved at once, with the message "&lt;ticket ID&gt; marked Resolved".
2. "Close ticket" shows on any ticket that is not Closed; selecting it opens a confirmation titled "Close &lt;ticket ID&gt;?" with "Closed tickets are treated as complete. You can reopen it by changing the status." and the buttons "Cancel" and "Close ticket".
3. Confirming sets the status to Closed with the message "&lt;ticket ID&gt; marked Closed"; "Cancel" changes nothing.
4. A Closed ticket is reopened by changing its status (AC-ITH-25).
5. Resolved and Closed events are recorded in the activity timeline.
6. Not built: automatic closing of Resolved tickets after a number of days, and satisfaction surveys.</t>
        </is>
      </c>
      <c r="G30" s="3" t="inlineStr">
        <is>
          <t>ITHelp: scrTicket</t>
        </is>
      </c>
      <c r="H30" s="3" t="inlineStr">
        <is>
          <t>ITH_Tickets: TicketStatus, Modified; ITH_TicketActivity: TicketId, ActivityText</t>
        </is>
      </c>
      <c r="I30" s="3" t="inlineStr">
        <is>
          <t>Functional</t>
        </is>
      </c>
      <c r="J30" s="3" t="inlineStr">
        <is>
          <t>Must</t>
        </is>
      </c>
      <c r="K30" s="3" t="inlineStr">
        <is>
          <t>BRD: Helpdesk_BRD 1.0!R13; Design: index (4).html closeTk(), setF()</t>
        </is>
      </c>
      <c r="L30" s="3" t="n"/>
      <c r="M30" s="3" t="inlineStr">
        <is>
          <t>Q-13, Q-20</t>
        </is>
      </c>
      <c r="N30" s="3" t="inlineStr">
        <is>
          <t>Approved</t>
        </is>
      </c>
      <c r="O30" s="3" t="n"/>
    </row>
    <row r="31" ht="158.4" customHeight="1">
      <c r="A31" s="3" t="inlineStr">
        <is>
          <t>AC-ITH-30</t>
        </is>
      </c>
      <c r="B31" s="3" t="inlineStr">
        <is>
          <t>Ticket detail - delete</t>
        </is>
      </c>
      <c r="C31" s="3" t="inlineStr">
        <is>
          <t>Administrator</t>
        </is>
      </c>
      <c r="D31" s="3" t="inlineStr">
        <is>
          <t>Delete a ticket</t>
        </is>
      </c>
      <c r="E31" s="3" t="inlineStr">
        <is>
          <t>Administrators remove a ticket permanently after a confirmation.</t>
        </is>
      </c>
      <c r="F31" s="3" t="inlineStr">
        <is>
          <t>1. A red "Delete" button on the detail, and the delete icon on a list row, show only to Administrators.
2. Selecting it opens a confirmation titled "Delete &lt;ticket ID&gt;?" with "This permanently removes the ticket, its comments, and its activity." and the buttons "Cancel" and "Delete ticket".
3. Confirming removes the ticket with its comments, activity and attachments, closes the detail if it is open, refreshes the list and shows "&lt;ticket ID&gt; deleted"; "Cancel" changes nothing.
4. Deleting is permanent: there is no recycle bin or restore in the app.
5. A user who is not an Administrator cannot delete a ticket even by other means; SharePoint list permissions refuse it (STD-PERM).</t>
        </is>
      </c>
      <c r="G31" s="3" t="inlineStr">
        <is>
          <t>ITHelp: scrTicket</t>
        </is>
      </c>
      <c r="H31" s="3" t="inlineStr">
        <is>
          <t>ITH_Tickets: Title; ITH_TicketComments: TicketId; ITH_TicketActivity: TicketId</t>
        </is>
      </c>
      <c r="I31" s="3" t="inlineStr">
        <is>
          <t>Functional</t>
        </is>
      </c>
      <c r="J31" s="3" t="inlineStr">
        <is>
          <t>Must</t>
        </is>
      </c>
      <c r="K31" s="3" t="inlineStr">
        <is>
          <t>BRD: Helpdesk_BRD 1.0!R14, R20; Design: index (4).html delT()</t>
        </is>
      </c>
      <c r="L31" s="3" t="n"/>
      <c r="M31" s="3" t="inlineStr">
        <is>
          <t>Q-11</t>
        </is>
      </c>
      <c r="N31" s="3" t="inlineStr">
        <is>
          <t>Approved</t>
        </is>
      </c>
      <c r="O31" s="3" t="n"/>
    </row>
    <row r="32" ht="129.6" customHeight="1">
      <c r="A32" s="3" t="inlineStr">
        <is>
          <t>AC-ITH-31</t>
        </is>
      </c>
      <c r="B32" s="3" t="inlineStr">
        <is>
          <t>Assignment</t>
        </is>
      </c>
      <c r="C32" s="3" t="inlineStr">
        <is>
          <t>Technician, Administrator</t>
        </is>
      </c>
      <c r="D32" s="3" t="inlineStr">
        <is>
          <t>Ticket assignment</t>
        </is>
      </c>
      <c r="E32" s="3" t="inlineStr">
        <is>
          <t>Tickets start unassigned unless an assignee is chosen, and technicians or administrators assign and reassign them from a configured list.</t>
        </is>
      </c>
      <c r="F32" s="3" t="inlineStr">
        <is>
          <t>1. A new ticket is "Unassigned" unless an assignee is chosen on the form.
2. The assignee drop-downs (form and detail) offer "Unassigned" and the technicians listed in the technician list, in that list's sort order.
3. A technician or administrator can assign or reassign a ticket at any time, also back to "Unassigned".
4. The technician list is kept by the client in SharePoint; no admin screen, import or sync is built.
5. Not built: automatic assignment (round robin, by category or by workload), technician availability and leave.</t>
        </is>
      </c>
      <c r="G32" s="3" t="inlineStr">
        <is>
          <t>ITHelp: scrTicket</t>
        </is>
      </c>
      <c r="H32" s="3" t="inlineStr">
        <is>
          <t>ITH_Technicians: Title, Email, SortOrder; ITH_Tickets: AssignedToName, AssignedToEmail</t>
        </is>
      </c>
      <c r="I32" s="3" t="inlineStr">
        <is>
          <t>Functional</t>
        </is>
      </c>
      <c r="J32" s="3" t="inlineStr">
        <is>
          <t>Must</t>
        </is>
      </c>
      <c r="K32" s="3" t="inlineStr">
        <is>
          <t>BRD: Helpdesk_BRD 1.0!R16, R19; Design: index (4).html TECHS, #f_assignedTo</t>
        </is>
      </c>
      <c r="L32" s="3" t="inlineStr">
        <is>
          <t>IN-03</t>
        </is>
      </c>
      <c r="M32" s="3" t="inlineStr">
        <is>
          <t>Q-13, Q-16</t>
        </is>
      </c>
      <c r="N32" s="3" t="inlineStr">
        <is>
          <t>Approved</t>
        </is>
      </c>
      <c r="O32" s="3" t="n"/>
    </row>
    <row r="33" ht="115.2" customHeight="1">
      <c r="A33" s="3" t="inlineStr">
        <is>
          <t>AC-ITH-32</t>
        </is>
      </c>
      <c r="B33" s="3" t="inlineStr">
        <is>
          <t>Background - email to requester</t>
        </is>
      </c>
      <c r="C33" s="3" t="inlineStr">
        <is>
          <t>Requester</t>
        </is>
      </c>
      <c r="D33" s="3" t="inlineStr">
        <is>
          <t>Ticket created confirmation email</t>
        </is>
      </c>
      <c r="E33" s="3" t="inlineStr">
        <is>
          <t>The requester gets an Outlook email confirming their ticket. The prototype shows no emails; this comes from the BRD.</t>
        </is>
      </c>
      <c r="F33" s="3" t="inlineStr">
        <is>
          <t>1. When a ticket is created, an email goes to the requester's email address.
2. The email states the ticket ID and subject and carries a link to the ticket.
3. The email is sent from a shared mailbox or the flow owner's mailbox, as decided in Q-15.
4. The sending mailbox and any switch for this email are settings (environment variables), not text inside the flow.</t>
        </is>
      </c>
      <c r="G33" s="3" t="inlineStr">
        <is>
          <t>Flow: Notify requester - ticket created</t>
        </is>
      </c>
      <c r="H33" s="3" t="inlineStr">
        <is>
          <t>ITH_Tickets: Title, RequesterEmail</t>
        </is>
      </c>
      <c r="I33" s="3" t="inlineStr">
        <is>
          <t>Integration</t>
        </is>
      </c>
      <c r="J33" s="3" t="inlineStr">
        <is>
          <t>Must</t>
        </is>
      </c>
      <c r="K33" s="3" t="inlineStr">
        <is>
          <t>BRD: Helpdesk_BRD 1.0!R17</t>
        </is>
      </c>
      <c r="L33" s="3" t="inlineStr">
        <is>
          <t>IN-04</t>
        </is>
      </c>
      <c r="M33" s="3" t="inlineStr">
        <is>
          <t>Q-15</t>
        </is>
      </c>
      <c r="N33" s="3" t="inlineStr">
        <is>
          <t>Approved</t>
        </is>
      </c>
      <c r="O33" s="3" t="n"/>
    </row>
    <row r="34" ht="86.40000000000001" customHeight="1">
      <c r="A34" s="3" t="inlineStr">
        <is>
          <t>AC-ITH-33</t>
        </is>
      </c>
      <c r="B34" s="3" t="inlineStr">
        <is>
          <t>Background - email to technician</t>
        </is>
      </c>
      <c r="C34" s="3" t="inlineStr">
        <is>
          <t>Technician</t>
        </is>
      </c>
      <c r="D34" s="3" t="inlineStr">
        <is>
          <t>Ticket assigned email</t>
        </is>
      </c>
      <c r="E34" s="3" t="inlineStr">
        <is>
          <t>A technician gets an Outlook email when a ticket is assigned to them.</t>
        </is>
      </c>
      <c r="F34" s="3" t="inlineStr">
        <is>
          <t>1. When a ticket is created with an assignee, or an existing ticket is assigned or reassigned, an email goes to the new assignee.
2. The email states the ticket ID and subject and carries a link to the ticket.
3. No email goes when a ticket is set to "Unassigned".
4. The sending mailbox is the one of AC-ITH-32.</t>
        </is>
      </c>
      <c r="G34" s="3" t="inlineStr">
        <is>
          <t>Flow: Notify technician - ticket assigned</t>
        </is>
      </c>
      <c r="H34" s="3" t="inlineStr">
        <is>
          <t>ITH_Tickets: Title, AssignedToEmail</t>
        </is>
      </c>
      <c r="I34" s="3" t="inlineStr">
        <is>
          <t>Integration</t>
        </is>
      </c>
      <c r="J34" s="3" t="inlineStr">
        <is>
          <t>Must</t>
        </is>
      </c>
      <c r="K34" s="3" t="inlineStr">
        <is>
          <t>BRD: Helpdesk_BRD 1.0!R17</t>
        </is>
      </c>
      <c r="L34" s="3" t="inlineStr">
        <is>
          <t>IN-04</t>
        </is>
      </c>
      <c r="M34" s="3" t="inlineStr">
        <is>
          <t>Q-15, Q-19</t>
        </is>
      </c>
      <c r="N34" s="3" t="inlineStr">
        <is>
          <t>Approved</t>
        </is>
      </c>
      <c r="O34" s="3" t="n"/>
    </row>
    <row r="35" ht="100.8" customHeight="1">
      <c r="A35" s="3" t="inlineStr">
        <is>
          <t>AC-ITH-34</t>
        </is>
      </c>
      <c r="B35" s="3" t="inlineStr">
        <is>
          <t>Background - email to requester</t>
        </is>
      </c>
      <c r="C35" s="3" t="inlineStr">
        <is>
          <t>Requester</t>
        </is>
      </c>
      <c r="D35" s="3" t="inlineStr">
        <is>
          <t>Ticket update emails</t>
        </is>
      </c>
      <c r="E35" s="3" t="inlineStr">
        <is>
          <t>The requester gets an Outlook email when their ticket's status changes, it is resolved, or a comment is added.</t>
        </is>
      </c>
      <c r="F35" s="3" t="inlineStr">
        <is>
          <t>1. When the status of a ticket changes, an email goes to the requester stating the ticket ID, subject, the new status and a link to the ticket.
2. When a ticket is set to Resolved, the email says it is resolved.
3. When a comment is added, an email goes to the requester stating the ticket ID, subject, who commented and a link to the ticket.
4. No email goes to the person who made the change themselves.
5. Changes to priority, assignee or details send no email to the requester.</t>
        </is>
      </c>
      <c r="G35" s="3" t="inlineStr">
        <is>
          <t>Flow: Notify requester - ticket updated</t>
        </is>
      </c>
      <c r="H35" s="3" t="inlineStr">
        <is>
          <t>ITH_Tickets: Title, RequesterEmail, TicketStatus; ITH_TicketComments: TicketId, AuthorName, CommentText</t>
        </is>
      </c>
      <c r="I35" s="3" t="inlineStr">
        <is>
          <t>Integration</t>
        </is>
      </c>
      <c r="J35" s="3" t="inlineStr">
        <is>
          <t>Must</t>
        </is>
      </c>
      <c r="K35" s="3" t="inlineStr">
        <is>
          <t>BRD: Helpdesk_BRD 1.0!R17</t>
        </is>
      </c>
      <c r="L35" s="3" t="inlineStr">
        <is>
          <t>IN-04</t>
        </is>
      </c>
      <c r="M35" s="3" t="inlineStr">
        <is>
          <t>Q-15, Q-19</t>
        </is>
      </c>
      <c r="N35" s="3" t="inlineStr">
        <is>
          <t>Approved</t>
        </is>
      </c>
      <c r="O35" s="3" t="n"/>
    </row>
    <row r="36" ht="216" customHeight="1">
      <c r="A36" s="3" t="inlineStr">
        <is>
          <t>AC-ITH-35</t>
        </is>
      </c>
      <c r="B36" s="3" t="inlineStr">
        <is>
          <t>Knowledge base</t>
        </is>
      </c>
      <c r="C36" s="3" t="inlineStr">
        <is>
          <t>All Users</t>
        </is>
      </c>
      <c r="D36" s="3" t="inlineStr">
        <is>
          <t>Knowledge base list and search</t>
        </is>
      </c>
      <c r="E36" s="3" t="inlineStr">
        <is>
          <t>A searchable list of self-service articles, grouped by category, helps users solve common issues before raising a ticket.</t>
        </is>
      </c>
      <c r="F36" s="3" t="inlineStr">
        <is>
          <t>1. The screen has the heading "Knowledge base" and the line "Self-service guides for common issues."
2. Each article is a card showing its category (muted), its title and a short description, in a grid.
3. A search box with the placeholder "Search articles" keeps articles whose title or description contains the text, ignoring case.
4. Category chips "All" plus one for each category in use filter the list; the chosen chip has the soft accent fill. Search and chip combine.
5. With no match the grid shows "No articles match "&lt;text&gt;"."
6. The articles are static content kept up to date by administrators in SharePoint; no article editor, versioning, approval, ratings or attachments are built.
7. The articles in the prototype (6, in categories Account, Network, Email and Software) are used as sample content until the client supplies the real ones.</t>
        </is>
      </c>
      <c r="G36" s="3" t="inlineStr">
        <is>
          <t>ITHelp: scrKnowledge</t>
        </is>
      </c>
      <c r="H36" s="3" t="inlineStr">
        <is>
          <t>ITH_Articles: Title, ArticleCategory, Summary, Steps, SortOrder</t>
        </is>
      </c>
      <c r="I36" s="3" t="inlineStr">
        <is>
          <t>Functional</t>
        </is>
      </c>
      <c r="J36" s="3" t="inlineStr">
        <is>
          <t>Must</t>
        </is>
      </c>
      <c r="K36" s="3" t="inlineStr">
        <is>
          <t>BRD: Helpdesk_BRD 1.0!R18; Design: index (4).html kbPage(), kbList(), KB</t>
        </is>
      </c>
      <c r="L36" s="3" t="inlineStr">
        <is>
          <t>IN-02</t>
        </is>
      </c>
      <c r="M36" s="3" t="inlineStr">
        <is>
          <t>Q-16</t>
        </is>
      </c>
      <c r="N36" s="3" t="inlineStr">
        <is>
          <t>Approved</t>
        </is>
      </c>
      <c r="O36" s="3" t="n"/>
    </row>
    <row r="37" ht="144" customHeight="1">
      <c r="A37" s="3" t="inlineStr">
        <is>
          <t>AC-ITH-36</t>
        </is>
      </c>
      <c r="B37" s="3" t="inlineStr">
        <is>
          <t>Knowledge base - article</t>
        </is>
      </c>
      <c r="C37" s="3" t="inlineStr">
        <is>
          <t>All Users</t>
        </is>
      </c>
      <c r="D37" s="3" t="inlineStr">
        <is>
          <t>Read an article and raise a ticket</t>
        </is>
      </c>
      <c r="E37" s="3" t="inlineStr">
        <is>
          <t>Users open an article to read its steps and can raise a ticket from it if still stuck.</t>
        </is>
      </c>
      <c r="F37" s="3" t="inlineStr">
        <is>
          <t>1. Selecting an article card opens the article in the same screen: a "Back to articles" button, the title as a heading, a muted line "&lt;category&gt; · &lt;description&gt;", and a card with the numbered steps.
2. "Back to articles" returns to the list with the search and chip unchanged.
3. A closing card reads "Still stuck?" and has a primary "Create ticket" button that opens the create form with the subject already set to the article's title.
4. The breadcrumb reads "Knowledge base / &lt;article title&gt;" while an article is open.</t>
        </is>
      </c>
      <c r="G37" s="3" t="inlineStr">
        <is>
          <t>ITHelp: scrKnowledge</t>
        </is>
      </c>
      <c r="H37" s="3" t="inlineStr">
        <is>
          <t>ITH_Articles: Title, ArticleCategory, Summary, Steps</t>
        </is>
      </c>
      <c r="I37" s="3" t="inlineStr">
        <is>
          <t>Functional</t>
        </is>
      </c>
      <c r="J37" s="3" t="inlineStr">
        <is>
          <t>Must</t>
        </is>
      </c>
      <c r="K37" s="3" t="inlineStr">
        <is>
          <t>BRD: Helpdesk_BRD 1.0!R18; Design: index (4).html kbPage() KO, openForm(null,title)</t>
        </is>
      </c>
      <c r="L37" s="3" t="n"/>
      <c r="M37" s="3" t="n"/>
      <c r="N37" s="3" t="inlineStr">
        <is>
          <t>Approved</t>
        </is>
      </c>
      <c r="O37" s="3" t="n"/>
    </row>
    <row r="38" ht="172.8" customHeight="1">
      <c r="A38" s="3" t="inlineStr">
        <is>
          <t>AC-ITH-37</t>
        </is>
      </c>
      <c r="B38" s="3" t="inlineStr">
        <is>
          <t>Settings</t>
        </is>
      </c>
      <c r="C38" s="3" t="inlineStr">
        <is>
          <t>All Users</t>
        </is>
      </c>
      <c r="D38" s="3" t="inlineStr">
        <is>
          <t>Settings reference screen</t>
        </is>
      </c>
      <c r="E38" s="3" t="inlineStr">
        <is>
          <t>A read-only screen shows reference information: the current user, the categories and the priority and status definitions.</t>
        </is>
      </c>
      <c r="F38" s="3" t="inlineStr">
        <is>
          <t>1. The screen has the heading "Settings" and a muted line saying it holds reference information.
2. A card "Current user" shows the avatar, the signed-in user's full name and email, and "Role: &lt;role&gt;".
3. A card "Ticket categories" shows each category as a chip, from the category list.
4. A card "Priority definitions" shows each priority badge with its definition, for example "Blocks a person or small team. Target: 4 hours."; a card "Status definitions" does the same for each status.
5. Nothing on the screen can be edited; user administration is not built.
6. The prototype's "Simulated behaviour" card is not shown (see AC-ITH-44).</t>
        </is>
      </c>
      <c r="G38" s="3" t="inlineStr">
        <is>
          <t>ITHelp: scrSettings</t>
        </is>
      </c>
      <c r="H38" s="3" t="inlineStr">
        <is>
          <t>ITH_Categories: Title, SortOrder; ITH_Priorities: Title, PriorityDefinition, SortOrder; ITH_Statuses: Title, StatusDefinition, SortOrder</t>
        </is>
      </c>
      <c r="I38" s="3" t="inlineStr">
        <is>
          <t>UI</t>
        </is>
      </c>
      <c r="J38" s="3" t="inlineStr">
        <is>
          <t>Should</t>
        </is>
      </c>
      <c r="K38" s="3" t="inlineStr">
        <is>
          <t>BRD: Helpdesk_BRD 1.0!R19; Design: index (4).html settings(), PD, SD</t>
        </is>
      </c>
      <c r="L38" s="3" t="inlineStr">
        <is>
          <t>IN-03</t>
        </is>
      </c>
      <c r="M38" s="3" t="inlineStr">
        <is>
          <t>Q-05, Q-16</t>
        </is>
      </c>
      <c r="N38" s="3" t="inlineStr">
        <is>
          <t>Approved</t>
        </is>
      </c>
      <c r="O38" s="3" t="n"/>
    </row>
    <row r="39" ht="201.6" customHeight="1">
      <c r="A39" s="3" t="inlineStr">
        <is>
          <t>AC-ITH-38</t>
        </is>
      </c>
      <c r="B39" s="3" t="inlineStr">
        <is>
          <t>Master data</t>
        </is>
      </c>
      <c r="C39" s="3" t="inlineStr">
        <is>
          <t>Administrator</t>
        </is>
      </c>
      <c r="D39" s="3" t="inlineStr">
        <is>
          <t>Categories, priorities, statuses and technicians in lists</t>
        </is>
      </c>
      <c r="E39" s="3" t="inlineStr">
        <is>
          <t>Ticket categories, priority levels, status values and the technician list are kept in SharePoint lists so administrators can change them without changing the app.</t>
        </is>
      </c>
      <c r="F39" s="3" t="inlineStr">
        <is>
          <t>1. The values in the category, priority, status and technician drop-downs, the filters, the badges and the Settings screen are read from four SharePoint lists, not typed into the app.
2. Starting values are the prototype's: categories Hardware, Software, Network, Access, Other; priorities Low, Medium, High, Critical with their definitions; statuses Open, In Progress, On Hold, Resolved, Closed with their definitions; four technicians (to be replaced with the client's).
3. Administrators add, rename, reorder or retire a value by editing the SharePoint list; the app shows the change without being republished.
4. The client keeps these lists up to date by hand; no admin screen, import or sync is built.
5. Status values and the "Resolved" and "Closed" meaning used by the counts and buttons are fixed by the app; a renamed status needs the app's rules checked first.</t>
        </is>
      </c>
      <c r="G39" s="3" t="inlineStr">
        <is>
          <t>ITHelp: App</t>
        </is>
      </c>
      <c r="H39" s="3" t="inlineStr">
        <is>
          <t>ITH_Categories: Title, SortOrder; ITH_Priorities: Title, PriorityDefinition, SortOrder; ITH_Statuses: Title, StatusDefinition, SortOrder, IsFinal; ITH_Technicians: Title, Email, SortOrder</t>
        </is>
      </c>
      <c r="I39" s="3" t="inlineStr">
        <is>
          <t>Data</t>
        </is>
      </c>
      <c r="J39" s="3" t="inlineStr">
        <is>
          <t>Must</t>
        </is>
      </c>
      <c r="K39" s="3" t="inlineStr">
        <is>
          <t>BRD: Helpdesk_BRD 1.0!R19; Design: index (4).html CATS, PRIS, STS, TECHS</t>
        </is>
      </c>
      <c r="L39" s="3" t="inlineStr">
        <is>
          <t>IN-03</t>
        </is>
      </c>
      <c r="M39" s="3" t="inlineStr">
        <is>
          <t>Q-16</t>
        </is>
      </c>
      <c r="N39" s="3" t="inlineStr">
        <is>
          <t>Approved</t>
        </is>
      </c>
      <c r="O39" s="3" t="n"/>
    </row>
    <row r="40" ht="144" customHeight="1">
      <c r="A40" s="3" t="inlineStr">
        <is>
          <t>AC-ITH-39</t>
        </is>
      </c>
      <c r="B40" s="3" t="inlineStr">
        <is>
          <t>Access control - Requester</t>
        </is>
      </c>
      <c r="C40" s="3" t="inlineStr">
        <is>
          <t>Requester</t>
        </is>
      </c>
      <c r="D40" s="3" t="inlineStr">
        <is>
          <t>Requester access</t>
        </is>
      </c>
      <c r="E40" s="3" t="inlineStr">
        <is>
          <t>Requesters raise and follow their own tickets and read the knowledge base.</t>
        </is>
      </c>
      <c r="F40" s="3" t="inlineStr">
        <is>
          <t>1. A requester can create tickets, and can open and comment on only the tickets they raised.
2. A requester sees only their own tickets in every list, count, summary, search and the notification menu.
3. A requester can read the knowledge base and Settings.
4. A requester cannot change status or assignment, cannot edit, resolve, close or delete a ticket, and cannot export tickets; those controls are not shown.
5. What a requester can read or change is decided by SharePoint list permissions, not by hiding buttons (STD-PERM).</t>
        </is>
      </c>
      <c r="G40" s="3" t="inlineStr">
        <is>
          <t>ITHelp: App</t>
        </is>
      </c>
      <c r="H40" s="3" t="inlineStr">
        <is>
          <t>ITH_Tickets: RequesterEmail</t>
        </is>
      </c>
      <c r="I40" s="3" t="inlineStr">
        <is>
          <t>Security</t>
        </is>
      </c>
      <c r="J40" s="3" t="inlineStr">
        <is>
          <t>Must</t>
        </is>
      </c>
      <c r="K40" s="3" t="inlineStr">
        <is>
          <t>BRD: Helpdesk_BRD 1.0!R4, R9, R10, R20</t>
        </is>
      </c>
      <c r="L40" s="3" t="inlineStr">
        <is>
          <t>IN-01</t>
        </is>
      </c>
      <c r="M40" s="3" t="inlineStr">
        <is>
          <t>Q-03, Q-06, Q-20</t>
        </is>
      </c>
      <c r="N40" s="3" t="inlineStr">
        <is>
          <t>Approved</t>
        </is>
      </c>
      <c r="O40" s="3" t="n"/>
    </row>
    <row r="41" ht="86.40000000000001" customHeight="1">
      <c r="A41" s="3" t="inlineStr">
        <is>
          <t>AC-ITH-40</t>
        </is>
      </c>
      <c r="B41" s="3" t="inlineStr">
        <is>
          <t>Access control - Technician</t>
        </is>
      </c>
      <c r="C41" s="3" t="inlineStr">
        <is>
          <t>Technician</t>
        </is>
      </c>
      <c r="D41" s="3" t="inlineStr">
        <is>
          <t>Technician access</t>
        </is>
      </c>
      <c r="E41" s="3" t="inlineStr">
        <is>
          <t>Technicians work the ticket queue.</t>
        </is>
      </c>
      <c r="F41" s="3" t="inlineStr">
        <is>
          <t>1. A technician can view all tickets, update status, priority and assignment, edit ticket details, resolve and close tickets, and comment.
2. A technician cannot delete a ticket or change the master data lists.
3. A technician can use the CSV export (AC-ITH-42).
4. These permissions come from SharePoint list permissions for the technician group (STD-PERM).</t>
        </is>
      </c>
      <c r="G41" s="3" t="inlineStr">
        <is>
          <t>ITHelp: App</t>
        </is>
      </c>
      <c r="H41" s="3" t="inlineStr">
        <is>
          <t>ITH_Tickets: TicketStatus, Priority, AssignedToEmail</t>
        </is>
      </c>
      <c r="I41" s="3" t="inlineStr">
        <is>
          <t>Security</t>
        </is>
      </c>
      <c r="J41" s="3" t="inlineStr">
        <is>
          <t>Must</t>
        </is>
      </c>
      <c r="K41" s="3" t="inlineStr">
        <is>
          <t>BRD: Helpdesk_BRD 1.0!R20</t>
        </is>
      </c>
      <c r="L41" s="3" t="inlineStr">
        <is>
          <t>IN-01</t>
        </is>
      </c>
      <c r="M41" s="3" t="inlineStr">
        <is>
          <t>Q-03</t>
        </is>
      </c>
      <c r="N41" s="3" t="inlineStr">
        <is>
          <t>Approved</t>
        </is>
      </c>
      <c r="O41" s="3" t="n"/>
    </row>
    <row r="42" ht="86.40000000000001" customHeight="1">
      <c r="A42" s="3" t="inlineStr">
        <is>
          <t>AC-ITH-41</t>
        </is>
      </c>
      <c r="B42" s="3" t="inlineStr">
        <is>
          <t>Access control - Administrator</t>
        </is>
      </c>
      <c r="C42" s="3" t="inlineStr">
        <is>
          <t>Administrator</t>
        </is>
      </c>
      <c r="D42" s="3" t="inlineStr">
        <is>
          <t>Administrator access</t>
        </is>
      </c>
      <c r="E42" s="3" t="inlineStr">
        <is>
          <t>Administrators can do everything technicians can, and also delete tickets and maintain master data.</t>
        </is>
      </c>
      <c r="F42" s="3" t="inlineStr">
        <is>
          <t>1. An administrator has all technician abilities (AC-ITH-40).
2. An administrator can delete tickets (AC-ITH-30).
3. An administrator maintains the master data lists (AC-ITH-38) and the knowledge base articles (AC-ITH-35) in SharePoint.
4. Who the administrators are is decided by membership of a group the client keeps; no user administration screen is built.</t>
        </is>
      </c>
      <c r="G42" s="3" t="inlineStr">
        <is>
          <t>ITHelp: App</t>
        </is>
      </c>
      <c r="H42" s="3" t="inlineStr">
        <is>
          <t>ITH_Tickets: Title; ITH_Categories: Title; ITH_Priorities: Title; ITH_Statuses: Title; ITH_Technicians: Title; ITH_Articles: Title</t>
        </is>
      </c>
      <c r="I42" s="3" t="inlineStr">
        <is>
          <t>Security</t>
        </is>
      </c>
      <c r="J42" s="3" t="inlineStr">
        <is>
          <t>Must</t>
        </is>
      </c>
      <c r="K42" s="3" t="inlineStr">
        <is>
          <t>BRD: Helpdesk_BRD 1.0!R14, R20</t>
        </is>
      </c>
      <c r="L42" s="3" t="inlineStr">
        <is>
          <t>IN-01</t>
        </is>
      </c>
      <c r="M42" s="3" t="inlineStr">
        <is>
          <t>Q-03</t>
        </is>
      </c>
      <c r="N42" s="3" t="inlineStr">
        <is>
          <t>Approved</t>
        </is>
      </c>
      <c r="O42" s="3" t="n"/>
    </row>
    <row r="43" ht="158.4" customHeight="1">
      <c r="A43" s="3" t="inlineStr">
        <is>
          <t>AC-ITH-42</t>
        </is>
      </c>
      <c r="B43" s="3" t="inlineStr">
        <is>
          <t>Reporting</t>
        </is>
      </c>
      <c r="C43" s="3" t="inlineStr">
        <is>
          <t>Technician, Administrator</t>
        </is>
      </c>
      <c r="D43" s="3" t="inlineStr">
        <is>
          <t>CSV export of tickets</t>
        </is>
      </c>
      <c r="E43" s="3" t="inlineStr">
        <is>
          <t>Authorised users download ticket data as a CSV file for basic reporting. The prototype does not show this; it comes from the BRD.</t>
        </is>
      </c>
      <c r="F43" s="3" t="inlineStr">
        <is>
          <t>1. An export action, visible only to technicians and administrators, produces a CSV file with one row per ticket and the columns Ticket ID, Subject, Requester, Category, Priority, Status, Assigned To, Created Date and Last Updated.
2. The file is generated from the SharePoint ticket data at the time of the request.
3. Where to put the action, and whether the export respects the filters on screen, is decided in Q-17; baseline: an "Export CSV" button on All tickets that exports the tickets currently filtered.
4. Not built: advanced analytics, Power BI dashboards, scheduled reports, SLA or trend analysis.</t>
        </is>
      </c>
      <c r="G43" s="3" t="inlineStr">
        <is>
          <t>ITHelp: scrTickets</t>
        </is>
      </c>
      <c r="H43" s="3" t="inlineStr">
        <is>
          <t>ITH_Tickets: Title, RequesterName, Category, Priority, TicketStatus, AssignedToName, Created, Modified</t>
        </is>
      </c>
      <c r="I43" s="3" t="inlineStr">
        <is>
          <t>Functional</t>
        </is>
      </c>
      <c r="J43" s="3" t="inlineStr">
        <is>
          <t>Should</t>
        </is>
      </c>
      <c r="K43" s="3" t="inlineStr">
        <is>
          <t>BRD: Helpdesk_BRD 1.0!R21</t>
        </is>
      </c>
      <c r="L43" s="3" t="n"/>
      <c r="M43" s="3" t="inlineStr">
        <is>
          <t>Q-17</t>
        </is>
      </c>
      <c r="N43" s="3" t="inlineStr">
        <is>
          <t>Approved</t>
        </is>
      </c>
      <c r="O43" s="3" t="n"/>
    </row>
    <row r="44" ht="158.4" customHeight="1">
      <c r="A44" s="3" t="inlineStr">
        <is>
          <t>AC-ITH-43</t>
        </is>
      </c>
      <c r="B44" s="3" t="inlineStr">
        <is>
          <t>Dialogs, panels and messages</t>
        </is>
      </c>
      <c r="C44" s="3" t="inlineStr">
        <is>
          <t>All Users</t>
        </is>
      </c>
      <c r="D44" s="3" t="inlineStr">
        <is>
          <t>Dialogs, panels and messages</t>
        </is>
      </c>
      <c r="E44" s="3" t="inlineStr">
        <is>
          <t>The way confirmation dialogs, side panels and short messages behave is the same everywhere in the app.</t>
        </is>
      </c>
      <c r="F44" s="3" t="inlineStr">
        <is>
          <t>1. A confirmation dialog is centred over a dimmed background with a title, a sentence and two buttons, the left one "Cancel"; selecting outside it, "Cancel" or pressing Escape closes it without doing anything.
2. When a dialog is open over a side panel, Escape closes the dialog first and the panel on the next press.
3. Short messages appear at the bottom right, stack when several are shown, and go away by themselves after a few seconds; error messages are red.
4. Messages are announced politely to a screen reader.
5. After any change, the screen behind the dialog or panel shows the new data.</t>
        </is>
      </c>
      <c r="G44" s="3" t="inlineStr">
        <is>
          <t>ITHelp: App</t>
        </is>
      </c>
      <c r="H44" s="3" t="inlineStr">
        <is>
          <t>None</t>
        </is>
      </c>
      <c r="I44" s="3" t="inlineStr">
        <is>
          <t>UI</t>
        </is>
      </c>
      <c r="J44" s="3" t="inlineStr">
        <is>
          <t>Must</t>
        </is>
      </c>
      <c r="K44" s="3" t="inlineStr">
        <is>
          <t>Design: index (4).html confirmDlg(), toast(), keydown handler, #ts</t>
        </is>
      </c>
      <c r="L44" s="3" t="n"/>
      <c r="M44" s="3" t="n"/>
      <c r="N44" s="3" t="inlineStr">
        <is>
          <t>Approved</t>
        </is>
      </c>
      <c r="O44" s="3" t="n"/>
    </row>
    <row r="45" ht="144" customHeight="1">
      <c r="A45" s="3" t="inlineStr">
        <is>
          <t>AC-ITH-44</t>
        </is>
      </c>
      <c r="B45" s="3" t="inlineStr">
        <is>
          <t>Demo features of the prototype</t>
        </is>
      </c>
      <c r="C45" s="3" t="inlineStr">
        <is>
          <t>All Users</t>
        </is>
      </c>
      <c r="D45" s="3" t="inlineStr">
        <is>
          <t>Prototype-only demo features</t>
        </is>
      </c>
      <c r="E45" s="3" t="inlineStr">
        <is>
          <t>The prototype contains behaviour that only exists because it is a demo. It is listed so it is not built by accident.</t>
        </is>
      </c>
      <c r="F45" s="3" t="inlineStr">
        <is>
          <t>1. Not built: the "Reset demo data" action in the profile menu and on Settings, and its confirmation "Reset demo data?".
2. Not built: the Settings card "Simulated behaviour", and the loading screen "Loading tickets…" kept for 300 milliseconds as a delay.
3. Not built: the prototype's sample tickets stored in the browser, and its messages "Saved data could not be read. Sample data restored." and "Could not save changes in this browser."
4. When the app loads from SharePoint, it shows a loading indicator in the content area while the data is fetched (STD-STATES).
5. Decide: keep any of these? Baseline: none are built.</t>
        </is>
      </c>
      <c r="G45" s="3" t="inlineStr">
        <is>
          <t>ITHelp: App</t>
        </is>
      </c>
      <c r="H45" s="3" t="inlineStr">
        <is>
          <t>None</t>
        </is>
      </c>
      <c r="I45" s="3" t="inlineStr">
        <is>
          <t>Functional</t>
        </is>
      </c>
      <c r="J45" s="3" t="inlineStr">
        <is>
          <t>Won't</t>
        </is>
      </c>
      <c r="K45" s="3" t="inlineStr">
        <is>
          <t>Design: index (4).html resetData(), settings(), load(), save()</t>
        </is>
      </c>
      <c r="L45" s="3" t="n"/>
      <c r="M45" s="3" t="inlineStr">
        <is>
          <t>Q-05</t>
        </is>
      </c>
      <c r="N45" s="3" t="inlineStr">
        <is>
          <t>Approved</t>
        </is>
      </c>
      <c r="O45" s="3" t="n"/>
    </row>
  </sheetData>
  <autoFilter ref="A1:O1000"/>
  <dataValidations count="3">
    <dataValidation sqref="I2:I1000" showDropDown="0" showInputMessage="0" showErrorMessage="0" allowBlank="1" errorTitle="Not an allowed value" error="Pick a value from the list." type="list">
      <formula1>"UI,Functional,Data,Integration,Security,Accessibility,Performance,Content"</formula1>
    </dataValidation>
    <dataValidation sqref="J2:J1000" showDropDown="0" showInputMessage="0" showErrorMessage="0" allowBlank="1" errorTitle="Not an allowed value" error="Pick a value from the list." type="list">
      <formula1>"Must,Should,Could,Won't"</formula1>
    </dataValidation>
    <dataValidation sqref="N2:N1000" showDropDown="0" showInputMessage="0" showErrorMessage="0" allowBlank="1" errorTitle="Not an allowed value" error="Pick a value from the list." type="list">
      <formula1>"Candidate,Draft,In Review,Approved,Changed,On Hold,Out of Scope"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4.4"/>
  <cols>
    <col width="13" customWidth="1" min="1" max="1"/>
    <col width="30" customWidth="1" min="2" max="2"/>
    <col width="18" customWidth="1" min="3" max="3"/>
    <col width="70" customWidth="1" min="4" max="4"/>
    <col width="34" customWidth="1" min="5" max="5"/>
  </cols>
  <sheetData>
    <row r="1">
      <c r="A1" s="4" t="inlineStr">
        <is>
          <t>Standard ID</t>
        </is>
      </c>
      <c r="B1" s="4" t="inlineStr">
        <is>
          <t>Standard</t>
        </is>
      </c>
      <c r="C1" s="4" t="inlineStr">
        <is>
          <t>Applies to</t>
        </is>
      </c>
      <c r="D1" s="4" t="inlineStr">
        <is>
          <t>Checks</t>
        </is>
      </c>
      <c r="E1" s="4" t="inlineStr">
        <is>
          <t>Basis</t>
        </is>
      </c>
    </row>
    <row r="2" ht="144" customHeight="1">
      <c r="A2" s="3" t="inlineStr">
        <is>
          <t>STD-A11Y</t>
        </is>
      </c>
      <c r="B2" s="3" t="inlineStr">
        <is>
          <t>Accessibility (WCAG 2.1 AA)</t>
        </is>
      </c>
      <c r="C2" s="3" t="inlineStr">
        <is>
          <t>All</t>
        </is>
      </c>
      <c r="D2" s="3" t="inlineStr">
        <is>
          <t>1. Every interactive control is reachable and operable by keyboard alone, in reading order, with a visible focus indicator.
2. Every interactive control has an accessible name: its text, or AccessibleLabel where the control has one (icons, inputs, galleries).
3. Text meets 4.5:1 contrast (3:1 for large text and control boundaries) against its background, in both colour schemes.
4. Each screen's title is a heading (Role: Heading1); images have meaningful alternative text or are marked decorative.
5. Errors and confirmations are announced to screen readers, never shown by colour alone.</t>
        </is>
      </c>
      <c r="E2" s="3" t="inlineStr">
        <is>
          <t>Acies default D9. Not negotiable scope: the PO signs the criteria, not this.</t>
        </is>
      </c>
    </row>
    <row r="3" ht="100.8" customHeight="1">
      <c r="A3" s="3" t="inlineStr">
        <is>
          <t>STD-STATES</t>
        </is>
      </c>
      <c r="B3" s="3" t="inlineStr">
        <is>
          <t>Loading, empty, error and no-permission states</t>
        </is>
      </c>
      <c r="C3" s="3" t="inlineStr">
        <is>
          <t>Every screen that shows list data</t>
        </is>
      </c>
      <c r="D3" s="3" t="inlineStr">
        <is>
          <t>1. While data loads, the screen shows a loading indicator in the area that will hold it.
2. With no data, the screen says what is missing and offers the next step if there is one.
3. If loading or saving fails, the user sees what failed in plain words and can try again; nothing fails silently.
4. If the user has no access to the data, the screen says so plainly.</t>
        </is>
      </c>
      <c r="E3" s="3" t="inlineStr">
        <is>
          <t>Acies design standard §5.</t>
        </is>
      </c>
    </row>
    <row r="4" ht="86.40000000000001" customHeight="1">
      <c r="A4" s="3" t="inlineStr">
        <is>
          <t>STD-PERM</t>
        </is>
      </c>
      <c r="B4" s="3" t="inlineStr">
        <is>
          <t>Permissions by list permissions</t>
        </is>
      </c>
      <c r="C4" s="3" t="inlineStr">
        <is>
          <t>Every list</t>
        </is>
      </c>
      <c r="D4" s="3" t="inlineStr">
        <is>
          <t>1. What a user can read or change is decided by the SharePoint list's permissions, not by which buttons the app shows.
2. A user without edit rights who reaches a save action gets a refusal from SharePoint, which the app reports as "You don't have access".
3. The groups for Requesters, Technicians and Administrators are set up by the client (IN-01); the app never grants rights itself.</t>
        </is>
      </c>
      <c r="E4" s="3" t="inlineStr">
        <is>
          <t>Acies default D6.</t>
        </is>
      </c>
    </row>
  </sheetData>
  <autoFilter ref="A1:E100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2"/>
  <sheetViews>
    <sheetView workbookViewId="0">
      <pane xSplit="1" ySplit="1" topLeftCell="B15" activePane="bottomRight" state="frozen"/>
      <selection pane="topRight" activeCell="A1" sqref="A1"/>
      <selection pane="bottomLeft" activeCell="A1" sqref="A1"/>
      <selection pane="bottomRight" activeCell="E21" sqref="E21"/>
    </sheetView>
  </sheetViews>
  <sheetFormatPr baseColWidth="8" defaultRowHeight="14.4"/>
  <cols>
    <col width="8" customWidth="1" min="1" max="1"/>
    <col width="18" customWidth="1" min="2" max="2"/>
    <col width="22" customWidth="1" min="3" max="3"/>
    <col width="60" customWidth="1" min="4" max="4"/>
    <col width="36" customWidth="1" min="5" max="5"/>
    <col width="40" customWidth="1" min="6" max="6"/>
    <col width="16" customWidth="1" min="7" max="7"/>
    <col width="11" customWidth="1" min="8" max="8"/>
    <col width="40" customWidth="1" min="9" max="9"/>
  </cols>
  <sheetData>
    <row r="1">
      <c r="A1" s="4" t="inlineStr">
        <is>
          <t>Q ID</t>
        </is>
      </c>
      <c r="B1" s="4" t="inlineStr">
        <is>
          <t>AC IDs</t>
        </is>
      </c>
      <c r="C1" s="4" t="inlineStr">
        <is>
          <t>Area</t>
        </is>
      </c>
      <c r="D1" s="4" t="inlineStr">
        <is>
          <t>Question</t>
        </is>
      </c>
      <c r="E1" s="4" t="inlineStr">
        <is>
          <t>Why it matters</t>
        </is>
      </c>
      <c r="F1" s="4" t="inlineStr">
        <is>
          <t>Current baseline (built if unanswered)</t>
        </is>
      </c>
      <c r="G1" s="4" t="inlineStr">
        <is>
          <t>Owner</t>
        </is>
      </c>
      <c r="H1" s="4" t="inlineStr">
        <is>
          <t>Status</t>
        </is>
      </c>
      <c r="I1" s="4" t="inlineStr">
        <is>
          <t>Answer · date</t>
        </is>
      </c>
    </row>
    <row r="2" ht="43.2" customHeight="1">
      <c r="A2" s="3" t="inlineStr">
        <is>
          <t>Q-01</t>
        </is>
      </c>
      <c r="B2" s="3" t="inlineStr">
        <is>
          <t>All</t>
        </is>
      </c>
      <c r="C2" s="3" t="inlineStr">
        <is>
          <t>Design</t>
        </is>
      </c>
      <c r="D2" s="3" t="inlineStr">
        <is>
          <t>Which version of index (4).html did the client accept, and on what date?</t>
        </is>
      </c>
      <c r="E2" s="3" t="inlineStr">
        <is>
          <t>Every "as shown in the design" check depends on it.</t>
        </is>
      </c>
      <c r="F2" s="3" t="inlineStr">
        <is>
          <t>The file inputs/design/index (4).html as it is.</t>
        </is>
      </c>
      <c r="G2" s="3" t="inlineStr">
        <is>
          <t>Client PO</t>
        </is>
      </c>
      <c r="H2" s="3" t="inlineStr">
        <is>
          <t>Answered</t>
        </is>
      </c>
      <c r="I2" s="3" t="inlineStr">
        <is>
          <t>File confirmed as the accepted design by the Acies delivery lead, 2026-10-29; the acceptance date is still to be confirmed.</t>
        </is>
      </c>
    </row>
    <row r="3" ht="28.8" customHeight="1">
      <c r="A3" s="3" t="inlineStr">
        <is>
          <t>Q-02</t>
        </is>
      </c>
      <c r="B3" s="3" t="inlineStr">
        <is>
          <t>AC-ITH-09</t>
        </is>
      </c>
      <c r="C3" s="3" t="inlineStr">
        <is>
          <t>Look and feel</t>
        </is>
      </c>
      <c r="D3" s="3" t="inlineStr">
        <is>
          <t>No brand guide: may the prototype's colours (indigo accent, light and dark) and Inter font stand as the brand? Inter is not a Studio font.</t>
        </is>
      </c>
      <c r="E3" s="3" t="inlineStr">
        <is>
          <t>Colours and type become the app's design tokens.</t>
        </is>
      </c>
      <c r="F3" s="3" t="inlineStr">
        <is>
          <t>Prototype colours as the brand; Segoe UI in place of Inter.</t>
        </is>
      </c>
      <c r="G3" s="3" t="inlineStr">
        <is>
          <t>Client PO</t>
        </is>
      </c>
      <c r="H3" s="3" t="inlineStr">
        <is>
          <t>Closed</t>
        </is>
      </c>
      <c r="I3" s="3" t="n"/>
    </row>
    <row r="4" ht="43.2" customHeight="1">
      <c r="A4" s="3" t="inlineStr">
        <is>
          <t>Q-03</t>
        </is>
      </c>
      <c r="B4" s="3" t="inlineStr">
        <is>
          <t>AC-ITH-01, AC-ITH-05, AC-ITH-39, AC-ITH-40, AC-ITH-41</t>
        </is>
      </c>
      <c r="C4" s="3" t="inlineStr">
        <is>
          <t>Access</t>
        </is>
      </c>
      <c r="D4" s="3" t="inlineStr">
        <is>
          <t>Which security groups are the Requesters, Technicians and Administrators?</t>
        </is>
      </c>
      <c r="E4" s="3" t="inlineStr">
        <is>
          <t>Roles are built on list permissions for these groups; the prototype has one fixed technician.</t>
        </is>
      </c>
      <c r="F4" s="3" t="inlineStr">
        <is>
          <t>Three groups, named by the client later; the app reads the role from the user's list permissions.</t>
        </is>
      </c>
      <c r="G4" s="3" t="inlineStr">
        <is>
          <t>Client admin</t>
        </is>
      </c>
      <c r="H4" s="3" t="inlineStr">
        <is>
          <t>Answered</t>
        </is>
      </c>
      <c r="I4" s="3" t="inlineStr">
        <is>
          <t>This will be handled later, Use a sharepoint list now, with employee email, role column.</t>
        </is>
      </c>
    </row>
    <row r="5" ht="43.2" customHeight="1">
      <c r="A5" s="3" t="inlineStr">
        <is>
          <t>Q-04</t>
        </is>
      </c>
      <c r="B5" s="3" t="inlineStr">
        <is>
          <t>AC-ITH-08, AC-ITH-10</t>
        </is>
      </c>
      <c r="C5" s="3" t="inlineStr">
        <is>
          <t>Look and feel</t>
        </is>
      </c>
      <c r="D5" s="3" t="inlineStr">
        <is>
          <t>The BRD puts "mobile-specific layout design and dark theme" out of scope, but the prototype has a dark theme toggle and responsive breakpoints. Build them?</t>
        </is>
      </c>
      <c r="E5" s="3" t="inlineStr">
        <is>
          <t>A second scheme doubles the colour tokens and the visual checks.</t>
        </is>
      </c>
      <c r="F5" s="3" t="inlineStr">
        <is>
          <t>Both schemes and the prototype's own breakpoints are built; no phone layout is designed.</t>
        </is>
      </c>
      <c r="G5" s="3" t="inlineStr">
        <is>
          <t>Client PO</t>
        </is>
      </c>
      <c r="H5" s="3" t="inlineStr">
        <is>
          <t>Answered</t>
        </is>
      </c>
      <c r="I5" s="3" t="inlineStr">
        <is>
          <t>Phone layout is out of scope.</t>
        </is>
      </c>
    </row>
    <row r="6" ht="28.8" customHeight="1">
      <c r="A6" s="3" t="inlineStr">
        <is>
          <t>Q-05</t>
        </is>
      </c>
      <c r="B6" s="3" t="inlineStr">
        <is>
          <t>AC-ITH-37, AC-ITH-44</t>
        </is>
      </c>
      <c r="C6" s="3" t="inlineStr">
        <is>
          <t>Settings</t>
        </is>
      </c>
      <c r="D6" s="3" t="inlineStr">
        <is>
          <t>Prototype-only items: "Reset demo data" and the Settings card "Simulated behaviour". Needed?</t>
        </is>
      </c>
      <c r="E6" s="3" t="inlineStr">
        <is>
          <t>They would delete or fake data in a live system.</t>
        </is>
      </c>
      <c r="F6" s="3" t="inlineStr">
        <is>
          <t>Not built.</t>
        </is>
      </c>
      <c r="G6" s="3" t="inlineStr">
        <is>
          <t>Client PO</t>
        </is>
      </c>
      <c r="H6" s="3" t="inlineStr">
        <is>
          <t>Answered</t>
        </is>
      </c>
      <c r="I6" s="3" t="inlineStr">
        <is>
          <t>Not needed</t>
        </is>
      </c>
    </row>
    <row r="7" ht="28.8" customHeight="1">
      <c r="A7" s="3" t="inlineStr">
        <is>
          <t>Q-06</t>
        </is>
      </c>
      <c r="B7" s="3" t="inlineStr">
        <is>
          <t>AC-ITH-11, AC-ITH-12, AC-ITH-39</t>
        </is>
      </c>
      <c r="C7" s="3" t="inlineStr">
        <is>
          <t>Overview</t>
        </is>
      </c>
      <c r="D7" s="3" t="inlineStr">
        <is>
          <t>Should requesters see helpdesk-wide counts or only counts for their own tickets?</t>
        </is>
      </c>
      <c r="E7" s="3" t="inlineStr">
        <is>
          <t>Decides whether requesters may read other people's tickets for counting.</t>
        </is>
      </c>
      <c r="F7" s="3" t="inlineStr">
        <is>
          <t>Only their own tickets.</t>
        </is>
      </c>
      <c r="G7" s="3" t="inlineStr">
        <is>
          <t>Client PO</t>
        </is>
      </c>
      <c r="H7" s="3" t="inlineStr">
        <is>
          <t>Answered</t>
        </is>
      </c>
      <c r="I7" s="3" t="inlineStr">
        <is>
          <t>Only their own tickets.</t>
        </is>
      </c>
    </row>
    <row r="8" ht="43.2" customHeight="1">
      <c r="A8" s="3" t="inlineStr">
        <is>
          <t>Q-07</t>
        </is>
      </c>
      <c r="B8" s="3" t="inlineStr">
        <is>
          <t>AC-ITH-06, AC-ITH-15, AC-ITH-16, AC-ITH-17</t>
        </is>
      </c>
      <c r="C8" s="3" t="inlineStr">
        <is>
          <t>Ticket list</t>
        </is>
      </c>
      <c r="D8" s="3" t="inlineStr">
        <is>
          <t>What ticket volume per month is expected?</t>
        </is>
      </c>
      <c r="E8" s="3" t="inlineStr">
        <is>
          <t>Sets the delegation and indexing approach for search, filter and sort.</t>
        </is>
      </c>
      <c r="F8" s="3" t="inlineStr">
        <is>
          <t>Under 2,000 tickets in total.</t>
        </is>
      </c>
      <c r="G8" s="3" t="inlineStr">
        <is>
          <t>Client PO</t>
        </is>
      </c>
      <c r="H8" s="3" t="inlineStr">
        <is>
          <t>Open</t>
        </is>
      </c>
      <c r="I8" s="3" t="n"/>
    </row>
    <row r="9" ht="28.8" customHeight="1">
      <c r="A9" s="3" t="inlineStr">
        <is>
          <t>Q-08</t>
        </is>
      </c>
      <c r="B9" s="3" t="inlineStr">
        <is>
          <t>AC-ITH-18, AC-ITH-26</t>
        </is>
      </c>
      <c r="C9" s="3" t="inlineStr">
        <is>
          <t>Ticket</t>
        </is>
      </c>
      <c r="D9" s="3" t="inlineStr">
        <is>
          <t>Who may edit a ticket after it is created: technicians only, or the requester too?</t>
        </is>
      </c>
      <c r="E9" s="3" t="inlineStr">
        <is>
          <t>Decides list permissions and whether the requester sees an Edit button.</t>
        </is>
      </c>
      <c r="F9" s="3" t="inlineStr">
        <is>
          <t>Technicians and administrators only.</t>
        </is>
      </c>
      <c r="G9" s="3" t="inlineStr">
        <is>
          <t>Client PO</t>
        </is>
      </c>
      <c r="H9" s="3" t="inlineStr">
        <is>
          <t>Open</t>
        </is>
      </c>
      <c r="I9" s="3" t="n"/>
    </row>
    <row r="10" ht="43.2" customHeight="1">
      <c r="A10" s="3" t="inlineStr">
        <is>
          <t>Q-09</t>
        </is>
      </c>
      <c r="B10" s="3" t="inlineStr">
        <is>
          <t>AC-ITH-20, AC-ITH-21</t>
        </is>
      </c>
      <c r="C10" s="3" t="inlineStr">
        <is>
          <t>Ticket</t>
        </is>
      </c>
      <c r="D10" s="3" t="inlineStr">
        <is>
          <t>Confirm the ticket ID format "HD-" plus a number, and whether requesters may set the priority.</t>
        </is>
      </c>
      <c r="E10" s="3" t="inlineStr">
        <is>
          <t>The ID is shown to everyone and used in emails; priority drives the technicians' queue.</t>
        </is>
      </c>
      <c r="F10" s="3" t="inlineStr">
        <is>
          <t>Format as in the prototype; requesters may choose the priority.</t>
        </is>
      </c>
      <c r="G10" s="3" t="inlineStr">
        <is>
          <t>Client PO</t>
        </is>
      </c>
      <c r="H10" s="3" t="inlineStr">
        <is>
          <t>Open</t>
        </is>
      </c>
      <c r="I10" s="3" t="n"/>
    </row>
    <row r="11" ht="43.2" customHeight="1">
      <c r="A11" s="3" t="inlineStr">
        <is>
          <t>Q-10</t>
        </is>
      </c>
      <c r="B11" s="3" t="inlineStr">
        <is>
          <t>AC-ITH-21</t>
        </is>
      </c>
      <c r="C11" s="3" t="inlineStr">
        <is>
          <t>Ticket</t>
        </is>
      </c>
      <c r="D11" s="3" t="inlineStr">
        <is>
          <t>The prototype makes the ID "highest number plus one", which can clash when two people save together. May the ID be the SharePoint item ID with the "HD-" prefix?</t>
        </is>
      </c>
      <c r="E11" s="3" t="inlineStr">
        <is>
          <t>A repeated ID is a defect; item IDs never repeat but start at 1 and have gaps after deletes.</t>
        </is>
      </c>
      <c r="F11" s="3" t="inlineStr">
        <is>
          <t>ID = "HD-" and the SharePoint item ID (so the first ticket is HD-1, not HD-1001).</t>
        </is>
      </c>
      <c r="G11" s="3" t="inlineStr">
        <is>
          <t>Acies delivery lead</t>
        </is>
      </c>
      <c r="H11" s="3" t="inlineStr">
        <is>
          <t>Open</t>
        </is>
      </c>
      <c r="I11" s="3" t="n"/>
    </row>
    <row r="12" ht="28.8" customHeight="1">
      <c r="A12" s="3" t="inlineStr">
        <is>
          <t>Q-11</t>
        </is>
      </c>
      <c r="B12" s="3" t="inlineStr">
        <is>
          <t>AC-ITH-28, AC-ITH-30</t>
        </is>
      </c>
      <c r="C12" s="3" t="inlineStr">
        <is>
          <t>Ticket</t>
        </is>
      </c>
      <c r="D12" s="3" t="inlineStr">
        <is>
          <t>Should tickets be deleted permanently, or only closed and kept for audit?</t>
        </is>
      </c>
      <c r="E12" s="3" t="inlineStr">
        <is>
          <t>Permanent delete removes the record of what was done.</t>
        </is>
      </c>
      <c r="F12" s="3" t="inlineStr">
        <is>
          <t>Permanent delete by Administrators only, as the prototype's confirmation says.</t>
        </is>
      </c>
      <c r="G12" s="3" t="inlineStr">
        <is>
          <t>Client PO</t>
        </is>
      </c>
      <c r="H12" s="3" t="inlineStr">
        <is>
          <t>Answered</t>
        </is>
      </c>
      <c r="I12" s="3" t="inlineStr">
        <is>
          <t>Only closed and kept for audit.</t>
        </is>
      </c>
    </row>
    <row r="13" ht="28.8" customHeight="1">
      <c r="A13" s="3" t="inlineStr">
        <is>
          <t>Q-12</t>
        </is>
      </c>
      <c r="B13" s="3" t="inlineStr">
        <is>
          <t>AC-ITH-02</t>
        </is>
      </c>
      <c r="C13" s="3" t="inlineStr">
        <is>
          <t>Navigation</t>
        </is>
      </c>
      <c r="D13" s="3" t="inlineStr">
        <is>
          <t>The BRD asks whether the optional "Approvals" menu shown in earlier material should be included. The prototype has none.</t>
        </is>
      </c>
      <c r="E13" s="3" t="inlineStr">
        <is>
          <t>Approvals would add a screen, a list and a flow.</t>
        </is>
      </c>
      <c r="F13" s="3" t="inlineStr">
        <is>
          <t>Not built.</t>
        </is>
      </c>
      <c r="G13" s="3" t="inlineStr">
        <is>
          <t>Client PO</t>
        </is>
      </c>
      <c r="H13" s="3" t="inlineStr">
        <is>
          <t>Answered</t>
        </is>
      </c>
      <c r="I13" s="3" t="inlineStr">
        <is>
          <t>No approvals menu neede.</t>
        </is>
      </c>
    </row>
    <row r="14" ht="72" customHeight="1">
      <c r="A14" s="3" t="inlineStr">
        <is>
          <t>Q-13</t>
        </is>
      </c>
      <c r="B14" s="3" t="inlineStr">
        <is>
          <t>AC-ITH-19, AC-ITH-22, AC-ITH-24, AC-ITH-25, AC-ITH-27, AC-ITH-29, AC-ITH-31</t>
        </is>
      </c>
      <c r="C14" s="3" t="inlineStr">
        <is>
          <t>Ticket rules</t>
        </is>
      </c>
      <c r="D14" s="3" t="inlineStr">
        <is>
          <t>BRD queries still open: restrict status transitions; private technician notes and internal comments; auto-close Resolved tickets after n days; shared team queues; auto-assignment by category; any additional mandatory fields.</t>
        </is>
      </c>
      <c r="E14" s="3" t="inlineStr">
        <is>
          <t>Each adds rules, fields or flows.</t>
        </is>
      </c>
      <c r="F14" s="3" t="inlineStr">
        <is>
          <t>None of them are built; any status can be set to any other.</t>
        </is>
      </c>
      <c r="G14" s="3" t="inlineStr">
        <is>
          <t>Client PO</t>
        </is>
      </c>
      <c r="H14" s="3" t="inlineStr">
        <is>
          <t>Open</t>
        </is>
      </c>
      <c r="I14" s="3" t="n"/>
    </row>
    <row r="15" ht="28.8" customHeight="1">
      <c r="A15" s="3" t="inlineStr">
        <is>
          <t>Q-14</t>
        </is>
      </c>
      <c r="B15" s="3" t="inlineStr">
        <is>
          <t>AC-ITH-23</t>
        </is>
      </c>
      <c r="C15" s="3" t="inlineStr">
        <is>
          <t>Attachments</t>
        </is>
      </c>
      <c r="D15" s="3" t="inlineStr">
        <is>
          <t>What is the maximum attachment size and which file types are allowed?</t>
        </is>
      </c>
      <c r="E15" s="3" t="inlineStr">
        <is>
          <t>Sets the refusal message and any size check in the form.</t>
        </is>
      </c>
      <c r="F15" s="3" t="inlineStr">
        <is>
          <t>Up to 10 MB per file; any type SharePoint accepts.</t>
        </is>
      </c>
      <c r="G15" s="3" t="inlineStr">
        <is>
          <t>Client PO</t>
        </is>
      </c>
      <c r="H15" s="3" t="inlineStr">
        <is>
          <t>Open</t>
        </is>
      </c>
      <c r="I15" s="3" t="n"/>
    </row>
    <row r="16" ht="28.8" customHeight="1">
      <c r="A16" s="3" t="inlineStr">
        <is>
          <t>Q-15</t>
        </is>
      </c>
      <c r="B16" s="3" t="inlineStr">
        <is>
          <t>AC-ITH-32, AC-ITH-33, AC-ITH-34</t>
        </is>
      </c>
      <c r="C16" s="3" t="inlineStr">
        <is>
          <t>Notifications</t>
        </is>
      </c>
      <c r="D16" s="3" t="inlineStr">
        <is>
          <t>Which events send Outlook emails, and from which mailbox?</t>
        </is>
      </c>
      <c r="E16" s="3" t="inlineStr">
        <is>
          <t>Decides the flows and which connection they run on.</t>
        </is>
      </c>
      <c r="F16" s="3" t="inlineStr">
        <is>
          <t>The three emails of AC-ITH-32 to AC-ITH-34, from a shared mailbox the client names.</t>
        </is>
      </c>
      <c r="G16" s="3" t="inlineStr">
        <is>
          <t>Client PO</t>
        </is>
      </c>
      <c r="H16" s="3" t="inlineStr">
        <is>
          <t>Open</t>
        </is>
      </c>
      <c r="I16" s="3" t="n"/>
    </row>
    <row r="17" ht="43.2" customHeight="1">
      <c r="A17" s="3" t="inlineStr">
        <is>
          <t>Q-16</t>
        </is>
      </c>
      <c r="B17" s="3" t="inlineStr">
        <is>
          <t>AC-ITH-31, AC-ITH-35, AC-ITH-37, AC-ITH-38</t>
        </is>
      </c>
      <c r="C17" s="3" t="inlineStr">
        <is>
          <t>Master data</t>
        </is>
      </c>
      <c r="D17" s="3" t="inlineStr">
        <is>
          <t>Please share the initial knowledge base articles and who maintains them, and the final categories, priority definitions and technician list.</t>
        </is>
      </c>
      <c r="E17" s="3" t="inlineStr">
        <is>
          <t>They are the starting content of the lists.</t>
        </is>
      </c>
      <c r="F17" s="3" t="inlineStr">
        <is>
          <t>The prototype's 6 articles, 5 categories, 4 priorities, 5 statuses and 4 technicians as sample content.</t>
        </is>
      </c>
      <c r="G17" s="3" t="inlineStr">
        <is>
          <t>Client PO</t>
        </is>
      </c>
      <c r="H17" s="3" t="inlineStr">
        <is>
          <t>Open</t>
        </is>
      </c>
      <c r="I17" s="3" t="inlineStr">
        <is>
          <t>Admin can manage them.</t>
        </is>
      </c>
    </row>
    <row r="18" ht="28.8" customHeight="1">
      <c r="A18" s="3" t="inlineStr">
        <is>
          <t>Q-17</t>
        </is>
      </c>
      <c r="B18" s="3" t="inlineStr">
        <is>
          <t>AC-ITH-42</t>
        </is>
      </c>
      <c r="C18" s="3" t="inlineStr">
        <is>
          <t>Reporting</t>
        </is>
      </c>
      <c r="D18" s="3" t="inlineStr">
        <is>
          <t>CSV export is not in the prototype: which fields and which roles, and should it follow the filters on screen?</t>
        </is>
      </c>
      <c r="E18" s="3" t="inlineStr">
        <is>
          <t>Decides where the action sits and what data it reads.</t>
        </is>
      </c>
      <c r="F18" s="3" t="inlineStr">
        <is>
          <t>The nine fields the BRD lists, for technicians and administrators, exporting the filtered list.</t>
        </is>
      </c>
      <c r="G18" s="3" t="inlineStr">
        <is>
          <t>Client PO</t>
        </is>
      </c>
      <c r="H18" s="3" t="inlineStr">
        <is>
          <t>Open</t>
        </is>
      </c>
      <c r="I18" s="3" t="n"/>
    </row>
    <row r="19" ht="28.8" customHeight="1">
      <c r="A19" s="3" t="inlineStr">
        <is>
          <t>Q-18</t>
        </is>
      </c>
      <c r="B19" s="3" t="inlineStr">
        <is>
          <t>AC-ITH-07, AC-ITH-14</t>
        </is>
      </c>
      <c r="C19" s="3" t="inlineStr">
        <is>
          <t>Notifications</t>
        </is>
      </c>
      <c r="D19" s="3" t="inlineStr">
        <is>
          <t>Should the bell and the Recent activity feed show activity from all tickets, or only from tickets the user can see?</t>
        </is>
      </c>
      <c r="E19" s="3" t="inlineStr">
        <is>
          <t>Showing other people's ticket activity to requesters leaks information.</t>
        </is>
      </c>
      <c r="F19" s="3" t="inlineStr">
        <is>
          <t>Only activity on tickets the user may see.</t>
        </is>
      </c>
      <c r="G19" s="3" t="inlineStr">
        <is>
          <t>Client PO</t>
        </is>
      </c>
      <c r="H19" s="3" t="inlineStr">
        <is>
          <t>Open</t>
        </is>
      </c>
      <c r="I19" s="3" t="n"/>
    </row>
    <row r="20" ht="28.8" customHeight="1">
      <c r="A20" s="3" t="inlineStr">
        <is>
          <t>Q-19</t>
        </is>
      </c>
      <c r="B20" s="3" t="inlineStr">
        <is>
          <t>AC-ITH-33, AC-ITH-34</t>
        </is>
      </c>
      <c r="C20" s="3" t="inlineStr">
        <is>
          <t>Notifications</t>
        </is>
      </c>
      <c r="D20" s="3" t="inlineStr">
        <is>
          <t>Should a person get an email about a change they made themselves (for example a technician assigning a ticket to themselves)?</t>
        </is>
      </c>
      <c r="E20" s="3" t="inlineStr">
        <is>
          <t>Avoids noise; changes how the flows decide who to email.</t>
        </is>
      </c>
      <c r="F20" s="3" t="inlineStr">
        <is>
          <t>No email to the person who made the change.</t>
        </is>
      </c>
      <c r="G20" s="3" t="inlineStr">
        <is>
          <t>Client PO</t>
        </is>
      </c>
      <c r="H20" s="3" t="inlineStr">
        <is>
          <t>Open</t>
        </is>
      </c>
      <c r="I20" s="3" t="n"/>
    </row>
    <row r="21" ht="28.8" customHeight="1">
      <c r="A21" s="3" t="inlineStr">
        <is>
          <t>Q-20</t>
        </is>
      </c>
      <c r="B21" s="3" t="inlineStr">
        <is>
          <t>AC-ITH-29, AC-ITH-39</t>
        </is>
      </c>
      <c r="C21" s="3" t="inlineStr">
        <is>
          <t>Ticket</t>
        </is>
      </c>
      <c r="D21" s="3" t="inlineStr">
        <is>
          <t>May a requester close or reopen their own ticket (for example after the fix works)?</t>
        </is>
      </c>
      <c r="E21" s="3" t="inlineStr">
        <is>
          <t>The BRD says requesters cannot change status; closing is a common request.</t>
        </is>
      </c>
      <c r="F21" s="3" t="inlineStr">
        <is>
          <t>No: only technicians and administrators change status.</t>
        </is>
      </c>
      <c r="G21" s="3" t="inlineStr">
        <is>
          <t>Client PO</t>
        </is>
      </c>
      <c r="H21" s="3" t="inlineStr">
        <is>
          <t>Open</t>
        </is>
      </c>
      <c r="I21" s="3" t="n"/>
    </row>
    <row r="22" ht="43.2" customHeight="1">
      <c r="A22" s="3" t="inlineStr">
        <is>
          <t>Q-21</t>
        </is>
      </c>
      <c r="B22" s="3" t="inlineStr">
        <is>
          <t>AC-ITH-20, AC-ITH-27</t>
        </is>
      </c>
      <c r="C22" s="3" t="inlineStr">
        <is>
          <t>Ticket</t>
        </is>
      </c>
      <c r="D22" s="3" t="inlineStr">
        <is>
          <t>May requesters raise a ticket on someone else's behalf (editing the requester name and email), and may they comment on their own tickets?</t>
        </is>
      </c>
      <c r="E22" s="3" t="inlineStr">
        <is>
          <t>The prototype lets anyone change the requester fields; the BRD defaults them to the signed-in user.</t>
        </is>
      </c>
      <c r="F22" s="3" t="inlineStr">
        <is>
          <t>Only technicians and administrators can change the requester; requesters can comment on their own tickets.</t>
        </is>
      </c>
      <c r="G22" s="3" t="inlineStr">
        <is>
          <t>Client PO</t>
        </is>
      </c>
      <c r="H22" s="3" t="inlineStr">
        <is>
          <t>Open</t>
        </is>
      </c>
      <c r="I22" s="3" t="n"/>
    </row>
  </sheetData>
  <autoFilter ref="A1:I1000"/>
  <dataValidations count="1">
    <dataValidation sqref="H2:H1000" showDropDown="0" showInputMessage="0" showErrorMessage="0" allowBlank="1" errorTitle="Not an allowed value" error="Pick a value from the list." type="list">
      <formula1>"Open,Answered,Closed"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4.4"/>
  <cols>
    <col width="10" customWidth="1" min="1" max="1"/>
    <col width="13" customWidth="1" min="2" max="2"/>
    <col width="34" customWidth="1" min="3" max="3"/>
    <col width="48" customWidth="1" min="4" max="4"/>
    <col width="18" customWidth="1" min="5" max="5"/>
    <col width="12" customWidth="1" min="6" max="6"/>
    <col width="36" customWidth="1" min="7" max="7"/>
  </cols>
  <sheetData>
    <row r="1">
      <c r="A1" s="4" t="inlineStr">
        <is>
          <t>Input ID</t>
        </is>
      </c>
      <c r="B1" s="4" t="inlineStr">
        <is>
          <t>AC ID</t>
        </is>
      </c>
      <c r="C1" s="4" t="inlineStr">
        <is>
          <t>Item</t>
        </is>
      </c>
      <c r="D1" s="4" t="inlineStr">
        <is>
          <t>Value / Link</t>
        </is>
      </c>
      <c r="E1" s="4" t="inlineStr">
        <is>
          <t>Provided By</t>
        </is>
      </c>
      <c r="F1" s="4" t="inlineStr">
        <is>
          <t>Status</t>
        </is>
      </c>
      <c r="G1" s="4" t="inlineStr">
        <is>
          <t>Notes</t>
        </is>
      </c>
    </row>
    <row r="2" ht="43.2" customHeight="1">
      <c r="A2" s="3" t="inlineStr">
        <is>
          <t>IN-01</t>
        </is>
      </c>
      <c r="B2" s="3" t="inlineStr">
        <is>
          <t>STD-PERM</t>
        </is>
      </c>
      <c r="C2" s="3" t="inlineStr">
        <is>
          <t>Names of the security groups for Requesters, Technicians and Administrators</t>
        </is>
      </c>
      <c r="D2" s="3" t="n"/>
      <c r="E2" s="3" t="inlineStr">
        <is>
          <t>Client IT admin</t>
        </is>
      </c>
      <c r="F2" s="3" t="inlineStr">
        <is>
          <t>Awaiting</t>
        </is>
      </c>
      <c r="G2" s="3" t="inlineStr">
        <is>
          <t>Needed to set list permissions and for the role shown on screen.</t>
        </is>
      </c>
    </row>
    <row r="3" ht="43.2" customHeight="1">
      <c r="A3" s="3" t="inlineStr">
        <is>
          <t>IN-02</t>
        </is>
      </c>
      <c r="B3" s="3" t="inlineStr">
        <is>
          <t>AC-ITH-35</t>
        </is>
      </c>
      <c r="C3" s="3" t="inlineStr">
        <is>
          <t>Initial knowledge base articles (category, title, short description, steps) and who maintains them</t>
        </is>
      </c>
      <c r="D3" s="3" t="n"/>
      <c r="E3" s="3" t="inlineStr">
        <is>
          <t>Client PO</t>
        </is>
      </c>
      <c r="F3" s="3" t="inlineStr">
        <is>
          <t>Awaiting</t>
        </is>
      </c>
      <c r="G3" s="3" t="inlineStr">
        <is>
          <t>The prototype's 6 articles are used as sample content until then.</t>
        </is>
      </c>
    </row>
    <row r="4" ht="43.2" customHeight="1">
      <c r="A4" s="3" t="inlineStr">
        <is>
          <t>IN-03</t>
        </is>
      </c>
      <c r="B4" s="3" t="inlineStr">
        <is>
          <t>AC-ITH-38</t>
        </is>
      </c>
      <c r="C4" s="3" t="inlineStr">
        <is>
          <t>Final categories, priority definitions (with target text) and technician list (names and emails)</t>
        </is>
      </c>
      <c r="D4" s="3" t="n"/>
      <c r="E4" s="3" t="inlineStr">
        <is>
          <t>Client PO</t>
        </is>
      </c>
      <c r="F4" s="3" t="inlineStr">
        <is>
          <t>Awaiting</t>
        </is>
      </c>
      <c r="G4" s="3" t="inlineStr">
        <is>
          <t>Starting values are the prototype's.</t>
        </is>
      </c>
    </row>
    <row r="5" ht="28.8" customHeight="1">
      <c r="A5" s="3" t="inlineStr">
        <is>
          <t>IN-04</t>
        </is>
      </c>
      <c r="B5" s="3" t="inlineStr">
        <is>
          <t>AC-ITH-32</t>
        </is>
      </c>
      <c r="C5" s="3" t="inlineStr">
        <is>
          <t>Mailbox the notification emails are sent from, per environment</t>
        </is>
      </c>
      <c r="D5" s="3" t="n"/>
      <c r="E5" s="3" t="inlineStr">
        <is>
          <t>Client IT admin</t>
        </is>
      </c>
      <c r="F5" s="3" t="inlineStr">
        <is>
          <t>Awaiting</t>
        </is>
      </c>
      <c r="G5" s="3" t="inlineStr">
        <is>
          <t>Goes into the deployment settings for each environment, not the flow.</t>
        </is>
      </c>
    </row>
  </sheetData>
  <autoFilter ref="A1:G1000"/>
  <dataValidations count="1">
    <dataValidation sqref="F2:F1000" showDropDown="0" showInputMessage="0" showErrorMessage="0" allowBlank="1" errorTitle="Not an allowed value" error="Pick a value from the list." type="list">
      <formula1>"Awaiting,Received,Not Needed"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8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4.4"/>
  <cols>
    <col width="13" customWidth="1" min="1" max="2"/>
    <col width="9" customWidth="1" min="3" max="3"/>
    <col width="24" customWidth="1" min="4" max="4"/>
    <col width="20" customWidth="1" min="5" max="5"/>
    <col width="36" customWidth="1" min="6" max="6"/>
    <col width="13" customWidth="1" min="7" max="7"/>
    <col width="28" customWidth="1" min="8" max="8"/>
    <col width="48" customWidth="1" min="9" max="9"/>
    <col width="36" customWidth="1" min="10" max="10"/>
    <col width="10" customWidth="1" min="11" max="11"/>
    <col width="11" customWidth="1" min="12" max="12"/>
    <col width="30" customWidth="1" min="13" max="13"/>
    <col width="12" customWidth="1" min="14" max="14"/>
  </cols>
  <sheetData>
    <row r="1" ht="28.8" customHeight="1">
      <c r="A1" s="4" t="inlineStr">
        <is>
          <t>TC ID</t>
        </is>
      </c>
      <c r="B1" s="4" t="inlineStr">
        <is>
          <t>AC ID</t>
        </is>
      </c>
      <c r="C1" s="4" t="inlineStr">
        <is>
          <t>Check #</t>
        </is>
      </c>
      <c r="D1" s="4" t="inlineStr">
        <is>
          <t>Feature</t>
        </is>
      </c>
      <c r="E1" s="4" t="inlineStr">
        <is>
          <t>Power Apps Component</t>
        </is>
      </c>
      <c r="F1" s="4" t="inlineStr">
        <is>
          <t>Test Scenario</t>
        </is>
      </c>
      <c r="G1" s="4" t="inlineStr">
        <is>
          <t>Type</t>
        </is>
      </c>
      <c r="H1" s="4" t="inlineStr">
        <is>
          <t>Preconditions</t>
        </is>
      </c>
      <c r="I1" s="4" t="inlineStr">
        <is>
          <t>Steps</t>
        </is>
      </c>
      <c r="J1" s="4" t="inlineStr">
        <is>
          <t>Expected Result</t>
        </is>
      </c>
      <c r="K1" s="4" t="inlineStr">
        <is>
          <t>Iteration</t>
        </is>
      </c>
      <c r="L1" s="4" t="inlineStr">
        <is>
          <t>Status</t>
        </is>
      </c>
      <c r="M1" s="4" t="inlineStr">
        <is>
          <t>Comments</t>
        </is>
      </c>
      <c r="N1" s="4" t="inlineStr">
        <is>
          <t>Bug Ref</t>
        </is>
      </c>
    </row>
    <row r="2">
      <c r="A2" s="3" t="inlineStr">
        <is>
          <t>TC-PLAT-001</t>
        </is>
      </c>
      <c r="B2" s="3" t="inlineStr">
        <is>
          <t>AC-ITH-01</t>
        </is>
      </c>
      <c r="C2" s="3" t="n">
        <v>1</v>
      </c>
      <c r="D2" s="3">
        <f>IF(B2="","",IFERROR(INDEX('Acceptance Criteria'!$D:$D,MATCH(B2,'Acceptance Criteria'!$A:$A,0)),IFERROR(INDEX('Delivery Standards'!$B:$B,MATCH(B2,'Delivery Standards'!$A:$A,0)),"⚠ Unknown AC ID")))</f>
        <v/>
      </c>
      <c r="E2" s="3">
        <f>IF(B2="","",IFERROR(INDEX('Acceptance Criteria'!$G:$G,MATCH(B2,'Acceptance Criteria'!$A:$A,0)),IFERROR(INDEX('Delivery Standards'!$C:$C,MATCH(B2,'Delivery Standards'!$A:$A,0)),"⚠ Unknown AC ID")))</f>
        <v/>
      </c>
      <c r="F2" s="3" t="inlineStr">
        <is>
          <t>Tickets are stored in a SharePoint list</t>
        </is>
      </c>
      <c r="G2" s="3" t="inlineStr">
        <is>
          <t>Positive</t>
        </is>
      </c>
      <c r="H2" s="3" t="inlineStr">
        <is>
          <t>Signed in as a technician (a row in ITH_UserRole with role Technician). The sample tickets from data-model.md exist.</t>
        </is>
      </c>
      <c r="I2" s="3" t="inlineStr">
        <is>
          <t>1. Create a ticket titled "TC-PLAT-001".
2. Open the ITH_Ticket list on the SharePoint site.</t>
        </is>
      </c>
      <c r="J2" s="3" t="inlineStr">
        <is>
          <t>An item titled "TC-PLAT-001" is in the list.</t>
        </is>
      </c>
      <c r="K2" s="3" t="n"/>
      <c r="L2" s="3" t="inlineStr">
        <is>
          <t>Not Run</t>
        </is>
      </c>
      <c r="M2" s="3" t="n"/>
      <c r="N2" s="3" t="n"/>
    </row>
    <row r="3">
      <c r="A3" s="3" t="inlineStr">
        <is>
          <t>TC-PLAT-002</t>
        </is>
      </c>
      <c r="B3" s="3" t="inlineStr">
        <is>
          <t>AC-ITH-01</t>
        </is>
      </c>
      <c r="C3" s="3" t="n">
        <v>4</v>
      </c>
      <c r="D3" s="3">
        <f>IF(B3="","",IFERROR(INDEX('Acceptance Criteria'!$D:$D,MATCH(B3,'Acceptance Criteria'!$A:$A,0)),IFERROR(INDEX('Delivery Standards'!$B:$B,MATCH(B3,'Delivery Standards'!$A:$A,0)),"⚠ Unknown AC ID")))</f>
        <v/>
      </c>
      <c r="E3" s="3">
        <f>IF(B3="","",IFERROR(INDEX('Acceptance Criteria'!$G:$G,MATCH(B3,'Acceptance Criteria'!$A:$A,0)),IFERROR(INDEX('Delivery Standards'!$C:$C,MATCH(B3,'Delivery Standards'!$A:$A,0)),"⚠ Unknown AC ID")))</f>
        <v/>
      </c>
      <c r="F3" s="3" t="inlineStr">
        <is>
          <t>None of the out-of-scope features are present</t>
        </is>
      </c>
      <c r="G3" s="3" t="inlineStr">
        <is>
          <t>Negative</t>
        </is>
      </c>
      <c r="H3" s="3" t="inlineStr">
        <is>
          <t>The app is published and shared with the tester.</t>
        </is>
      </c>
      <c r="I3" s="3" t="inlineStr">
        <is>
          <t>1. Open every screen and menu.
2. Look for SLA timers, escalation, Teams or SMS settings, asset or change management, Power BI links.</t>
        </is>
      </c>
      <c r="J3" s="3" t="inlineStr">
        <is>
          <t>None of them are present.</t>
        </is>
      </c>
      <c r="K3" s="3" t="n"/>
      <c r="L3" s="3" t="inlineStr">
        <is>
          <t>Not Run</t>
        </is>
      </c>
      <c r="M3" s="3" t="n"/>
      <c r="N3" s="3" t="n"/>
    </row>
    <row r="4">
      <c r="A4" s="3" t="inlineStr">
        <is>
          <t>TC-PLAT-003</t>
        </is>
      </c>
      <c r="B4" s="3" t="inlineStr">
        <is>
          <t>AC-ITH-01</t>
        </is>
      </c>
      <c r="C4" s="3" t="n">
        <v>5</v>
      </c>
      <c r="D4" s="3">
        <f>IF(B4="","",IFERROR(INDEX('Acceptance Criteria'!$D:$D,MATCH(B4,'Acceptance Criteria'!$A:$A,0)),IFERROR(INDEX('Delivery Standards'!$B:$B,MATCH(B4,'Delivery Standards'!$A:$A,0)),"⚠ Unknown AC ID")))</f>
        <v/>
      </c>
      <c r="E4" s="3">
        <f>IF(B4="","",IFERROR(INDEX('Acceptance Criteria'!$G:$G,MATCH(B4,'Acceptance Criteria'!$A:$A,0)),IFERROR(INDEX('Delivery Standards'!$C:$C,MATCH(B4,'Delivery Standards'!$A:$A,0)),"⚠ Unknown AC ID")))</f>
        <v/>
      </c>
      <c r="F4" s="3" t="inlineStr">
        <is>
          <t>Priority target text is not enforced</t>
        </is>
      </c>
      <c r="G4" s="3" t="inlineStr">
        <is>
          <t>Edge</t>
        </is>
      </c>
      <c r="H4" s="3" t="inlineStr">
        <is>
          <t>Signed in as a technician (a row in ITH_UserRole with role Technician). The sample tickets from data-model.md exist.</t>
        </is>
      </c>
      <c r="I4" s="3" t="inlineStr">
        <is>
          <t>1. Open Settings and read the High definition ("Target: 4 hours").
2. Leave a High ticket Open for longer than 4 hours.</t>
        </is>
      </c>
      <c r="J4" s="3" t="inlineStr">
        <is>
          <t>Nothing changes on the ticket; no timer, colour change or alert appears.</t>
        </is>
      </c>
      <c r="K4" s="3" t="n"/>
      <c r="L4" s="3" t="inlineStr">
        <is>
          <t>Not Run</t>
        </is>
      </c>
      <c r="M4" s="3" t="n"/>
      <c r="N4" s="3" t="n"/>
    </row>
    <row r="5">
      <c r="A5" s="3" t="inlineStr">
        <is>
          <t>TC-NAV-001</t>
        </is>
      </c>
      <c r="B5" s="3" t="inlineStr">
        <is>
          <t>AC-ITH-02</t>
        </is>
      </c>
      <c r="C5" s="3" t="n">
        <v>1</v>
      </c>
      <c r="D5" s="3">
        <f>IF(B5="","",IFERROR(INDEX('Acceptance Criteria'!$D:$D,MATCH(B5,'Acceptance Criteria'!$A:$A,0)),IFERROR(INDEX('Delivery Standards'!$B:$B,MATCH(B5,'Delivery Standards'!$A:$A,0)),"⚠ Unknown AC ID")))</f>
        <v/>
      </c>
      <c r="E5" s="3">
        <f>IF(B5="","",IFERROR(INDEX('Acceptance Criteria'!$G:$G,MATCH(B5,'Acceptance Criteria'!$A:$A,0)),IFERROR(INDEX('Delivery Standards'!$C:$C,MATCH(B5,'Delivery Standards'!$A:$A,0)),"⚠ Unknown AC ID")))</f>
        <v/>
      </c>
      <c r="F5" s="3" t="inlineStr">
        <is>
          <t>Sidebar items and order</t>
        </is>
      </c>
      <c r="G5" s="3" t="inlineStr">
        <is>
          <t>Positive</t>
        </is>
      </c>
      <c r="H5" s="3" t="inlineStr">
        <is>
          <t>The app is published and shared with the tester.</t>
        </is>
      </c>
      <c r="I5" s="3" t="inlineStr">
        <is>
          <t>1. Open the app.
2. Read the sidebar from top to bottom.</t>
        </is>
      </c>
      <c r="J5" s="3" t="inlineStr">
        <is>
          <t>Overview, All tickets, My tickets, Assigned to me, Knowledge base, Settings, each with an icon.</t>
        </is>
      </c>
      <c r="K5" s="3" t="n"/>
      <c r="L5" s="3" t="inlineStr">
        <is>
          <t>Not Run</t>
        </is>
      </c>
      <c r="M5" s="3" t="n"/>
      <c r="N5" s="3" t="n"/>
    </row>
    <row r="6">
      <c r="A6" s="3" t="inlineStr">
        <is>
          <t>TC-NAV-002</t>
        </is>
      </c>
      <c r="B6" s="3" t="inlineStr">
        <is>
          <t>AC-ITH-02</t>
        </is>
      </c>
      <c r="C6" s="3" t="n">
        <v>2</v>
      </c>
      <c r="D6" s="3">
        <f>IF(B6="","",IFERROR(INDEX('Acceptance Criteria'!$D:$D,MATCH(B6,'Acceptance Criteria'!$A:$A,0)),IFERROR(INDEX('Delivery Standards'!$B:$B,MATCH(B6,'Delivery Standards'!$A:$A,0)),"⚠ Unknown AC ID")))</f>
        <v/>
      </c>
      <c r="E6" s="3">
        <f>IF(B6="","",IFERROR(INDEX('Acceptance Criteria'!$G:$G,MATCH(B6,'Acceptance Criteria'!$A:$A,0)),IFERROR(INDEX('Delivery Standards'!$C:$C,MATCH(B6,'Delivery Standards'!$A:$A,0)),"⚠ Unknown AC ID")))</f>
        <v/>
      </c>
      <c r="F6" s="3" t="inlineStr">
        <is>
          <t>Sidebar stays on every screen and opens the view</t>
        </is>
      </c>
      <c r="G6" s="3" t="inlineStr">
        <is>
          <t>Positive</t>
        </is>
      </c>
      <c r="H6" s="3" t="inlineStr">
        <is>
          <t>The app is published and shared with the tester.</t>
        </is>
      </c>
      <c r="I6" s="3" t="inlineStr">
        <is>
          <t>1. Select each sidebar item in turn.</t>
        </is>
      </c>
      <c r="J6" s="3" t="inlineStr">
        <is>
          <t>Each opens its view; the sidebar is on every screen.</t>
        </is>
      </c>
      <c r="K6" s="3" t="n"/>
      <c r="L6" s="3" t="inlineStr">
        <is>
          <t>Not Run</t>
        </is>
      </c>
      <c r="M6" s="3" t="n"/>
      <c r="N6" s="3" t="n"/>
    </row>
    <row r="7">
      <c r="A7" s="3" t="inlineStr">
        <is>
          <t>TC-NAV-003</t>
        </is>
      </c>
      <c r="B7" s="3" t="inlineStr">
        <is>
          <t>AC-ITH-02</t>
        </is>
      </c>
      <c r="C7" s="3" t="n">
        <v>3</v>
      </c>
      <c r="D7" s="3">
        <f>IF(B7="","",IFERROR(INDEX('Acceptance Criteria'!$D:$D,MATCH(B7,'Acceptance Criteria'!$A:$A,0)),IFERROR(INDEX('Delivery Standards'!$B:$B,MATCH(B7,'Delivery Standards'!$A:$A,0)),"⚠ Unknown AC ID")))</f>
        <v/>
      </c>
      <c r="E7" s="3">
        <f>IF(B7="","",IFERROR(INDEX('Acceptance Criteria'!$G:$G,MATCH(B7,'Acceptance Criteria'!$A:$A,0)),IFERROR(INDEX('Delivery Standards'!$C:$C,MATCH(B7,'Delivery Standards'!$A:$A,0)),"⚠ Unknown AC ID")))</f>
        <v/>
      </c>
      <c r="F7" s="3" t="inlineStr">
        <is>
          <t>Current item is highlighted</t>
        </is>
      </c>
      <c r="G7" s="3" t="inlineStr">
        <is>
          <t>Positive</t>
        </is>
      </c>
      <c r="H7" s="3" t="inlineStr">
        <is>
          <t>The app is published and shared with the tester.</t>
        </is>
      </c>
      <c r="I7" s="3" t="inlineStr">
        <is>
          <t>1. Select "My tickets".</t>
        </is>
      </c>
      <c r="J7" s="3" t="inlineStr">
        <is>
          <t>"My tickets" has the soft indigo fill and indigo text; the others do not. A screen reader announces it as the current item.</t>
        </is>
      </c>
      <c r="K7" s="3" t="n"/>
      <c r="L7" s="3" t="inlineStr">
        <is>
          <t>Not Run</t>
        </is>
      </c>
      <c r="M7" s="3" t="n"/>
      <c r="N7" s="3" t="n"/>
    </row>
    <row r="8">
      <c r="A8" s="3" t="inlineStr">
        <is>
          <t>TC-NAV-004</t>
        </is>
      </c>
      <c r="B8" s="3" t="inlineStr">
        <is>
          <t>AC-ITH-02</t>
        </is>
      </c>
      <c r="C8" s="3" t="n">
        <v>4</v>
      </c>
      <c r="D8" s="3">
        <f>IF(B8="","",IFERROR(INDEX('Acceptance Criteria'!$D:$D,MATCH(B8,'Acceptance Criteria'!$A:$A,0)),IFERROR(INDEX('Delivery Standards'!$B:$B,MATCH(B8,'Delivery Standards'!$A:$A,0)),"⚠ Unknown AC ID")))</f>
        <v/>
      </c>
      <c r="E8" s="3">
        <f>IF(B8="","",IFERROR(INDEX('Acceptance Criteria'!$G:$G,MATCH(B8,'Acceptance Criteria'!$A:$A,0)),IFERROR(INDEX('Delivery Standards'!$C:$C,MATCH(B8,'Delivery Standards'!$A:$A,0)),"⚠ Unknown AC ID")))</f>
        <v/>
      </c>
      <c r="F8" s="3" t="inlineStr">
        <is>
          <t>Counts on My tickets and Assigned to me</t>
        </is>
      </c>
      <c r="G8" s="3" t="inlineStr">
        <is>
          <t>Positive</t>
        </is>
      </c>
      <c r="H8" s="3" t="inlineStr">
        <is>
          <t>Signed in as a technician (a row in ITH_UserRole with role Technician). The sample tickets from data-model.md exist. Alex has 2 open tickets raised and 3 open tickets assigned.</t>
        </is>
      </c>
      <c r="I8" s="3" t="inlineStr">
        <is>
          <t>1. Look at the counts next to "My tickets" and "Assigned to me".</t>
        </is>
      </c>
      <c r="J8" s="3" t="inlineStr">
        <is>
          <t>The counts equal the number of the user's tickets not Resolved or Closed.</t>
        </is>
      </c>
      <c r="K8" s="3" t="n"/>
      <c r="L8" s="3" t="inlineStr">
        <is>
          <t>Not Run</t>
        </is>
      </c>
      <c r="M8" s="3" t="n"/>
      <c r="N8" s="3" t="n"/>
    </row>
    <row r="9">
      <c r="A9" s="3" t="inlineStr">
        <is>
          <t>TC-NAV-005</t>
        </is>
      </c>
      <c r="B9" s="3" t="inlineStr">
        <is>
          <t>AC-ITH-02</t>
        </is>
      </c>
      <c r="C9" s="3" t="n">
        <v>4</v>
      </c>
      <c r="D9" s="3">
        <f>IF(B9="","",IFERROR(INDEX('Acceptance Criteria'!$D:$D,MATCH(B9,'Acceptance Criteria'!$A:$A,0)),IFERROR(INDEX('Delivery Standards'!$B:$B,MATCH(B9,'Delivery Standards'!$A:$A,0)),"⚠ Unknown AC ID")))</f>
        <v/>
      </c>
      <c r="E9" s="3">
        <f>IF(B9="","",IFERROR(INDEX('Acceptance Criteria'!$G:$G,MATCH(B9,'Acceptance Criteria'!$A:$A,0)),IFERROR(INDEX('Delivery Standards'!$C:$C,MATCH(B9,'Delivery Standards'!$A:$A,0)),"⚠ Unknown AC ID")))</f>
        <v/>
      </c>
      <c r="F9" s="3" t="inlineStr">
        <is>
          <t>A count of zero shows no count</t>
        </is>
      </c>
      <c r="G9" s="3" t="inlineStr">
        <is>
          <t>Edge</t>
        </is>
      </c>
      <c r="H9" s="3" t="inlineStr">
        <is>
          <t>Signed in as a requester (a row in ITH_UserRole with role Requester, or no row). Tickets HD-1 and HD-2 were raised by this user, others by other people.</t>
        </is>
      </c>
      <c r="I9" s="3" t="inlineStr">
        <is>
          <t>1. Sign in as a requester with no assigned tickets.
2. Look at "Assigned to me".</t>
        </is>
      </c>
      <c r="J9" s="3" t="inlineStr">
        <is>
          <t>No count is shown next to "Assigned to me".</t>
        </is>
      </c>
      <c r="K9" s="3" t="n"/>
      <c r="L9" s="3" t="inlineStr">
        <is>
          <t>Not Run</t>
        </is>
      </c>
      <c r="M9" s="3" t="n"/>
      <c r="N9" s="3" t="n"/>
    </row>
    <row r="10">
      <c r="A10" s="3" t="inlineStr">
        <is>
          <t>TC-NAV-006</t>
        </is>
      </c>
      <c r="B10" s="3" t="inlineStr">
        <is>
          <t>AC-ITH-02</t>
        </is>
      </c>
      <c r="C10" s="3" t="n">
        <v>6</v>
      </c>
      <c r="D10" s="3">
        <f>IF(B10="","",IFERROR(INDEX('Acceptance Criteria'!$D:$D,MATCH(B10,'Acceptance Criteria'!$A:$A,0)),IFERROR(INDEX('Delivery Standards'!$B:$B,MATCH(B10,'Delivery Standards'!$A:$A,0)),"⚠ Unknown AC ID")))</f>
        <v/>
      </c>
      <c r="E10" s="3">
        <f>IF(B10="","",IFERROR(INDEX('Acceptance Criteria'!$G:$G,MATCH(B10,'Acceptance Criteria'!$A:$A,0)),IFERROR(INDEX('Delivery Standards'!$C:$C,MATCH(B10,'Delivery Standards'!$A:$A,0)),"⚠ Unknown AC ID")))</f>
        <v/>
      </c>
      <c r="F10" s="3" t="inlineStr">
        <is>
          <t>Profile block at the bottom</t>
        </is>
      </c>
      <c r="G10" s="3" t="inlineStr">
        <is>
          <t>Positive</t>
        </is>
      </c>
      <c r="H10" s="3" t="inlineStr">
        <is>
          <t>The app is published and shared with the tester.</t>
        </is>
      </c>
      <c r="I10" s="3" t="inlineStr">
        <is>
          <t>1. Look at the bottom of the sidebar.</t>
        </is>
      </c>
      <c r="J10" s="3" t="inlineStr">
        <is>
          <t>The signed-in user's initials, full name and role (Requester, Technician or Administrator) are shown.</t>
        </is>
      </c>
      <c r="K10" s="3" t="n"/>
      <c r="L10" s="3" t="inlineStr">
        <is>
          <t>Not Run</t>
        </is>
      </c>
      <c r="M10" s="3" t="n"/>
      <c r="N10" s="3" t="n"/>
    </row>
    <row r="11">
      <c r="A11" s="3" t="inlineStr">
        <is>
          <t>TC-NAV-007</t>
        </is>
      </c>
      <c r="B11" s="3" t="inlineStr">
        <is>
          <t>AC-ITH-03</t>
        </is>
      </c>
      <c r="C11" s="3" t="n">
        <v>1</v>
      </c>
      <c r="D11" s="3">
        <f>IF(B11="","",IFERROR(INDEX('Acceptance Criteria'!$D:$D,MATCH(B11,'Acceptance Criteria'!$A:$A,0)),IFERROR(INDEX('Delivery Standards'!$B:$B,MATCH(B11,'Delivery Standards'!$A:$A,0)),"⚠ Unknown AC ID")))</f>
        <v/>
      </c>
      <c r="E11" s="3">
        <f>IF(B11="","",IFERROR(INDEX('Acceptance Criteria'!$G:$G,MATCH(B11,'Acceptance Criteria'!$A:$A,0)),IFERROR(INDEX('Delivery Standards'!$C:$C,MATCH(B11,'Delivery Standards'!$A:$A,0)),"⚠ Unknown AC ID")))</f>
        <v/>
      </c>
      <c r="F11" s="3" t="inlineStr">
        <is>
          <t>Collapse and restore the sidebar</t>
        </is>
      </c>
      <c r="G11" s="3" t="inlineStr">
        <is>
          <t>Positive</t>
        </is>
      </c>
      <c r="H11" s="3" t="inlineStr">
        <is>
          <t>The app is published and shared with the tester.</t>
        </is>
      </c>
      <c r="I11" s="3" t="inlineStr">
        <is>
          <t>1. Select the button "Collapse sidebar" in the header.
2. Select it again.</t>
        </is>
      </c>
      <c r="J11" s="3" t="inlineStr">
        <is>
          <t>The sidebar shrinks to an icon rail (labels, counts and the Helpdesk text hidden) and then returns to full width.</t>
        </is>
      </c>
      <c r="K11" s="3" t="n"/>
      <c r="L11" s="3" t="inlineStr">
        <is>
          <t>Not Run</t>
        </is>
      </c>
      <c r="M11" s="3" t="n"/>
      <c r="N11" s="3" t="n"/>
    </row>
    <row r="12">
      <c r="A12" s="3" t="inlineStr">
        <is>
          <t>TC-NAV-008</t>
        </is>
      </c>
      <c r="B12" s="3" t="inlineStr">
        <is>
          <t>AC-ITH-03</t>
        </is>
      </c>
      <c r="C12" s="3" t="n">
        <v>2</v>
      </c>
      <c r="D12" s="3">
        <f>IF(B12="","",IFERROR(INDEX('Acceptance Criteria'!$D:$D,MATCH(B12,'Acceptance Criteria'!$A:$A,0)),IFERROR(INDEX('Delivery Standards'!$B:$B,MATCH(B12,'Delivery Standards'!$A:$A,0)),"⚠ Unknown AC ID")))</f>
        <v/>
      </c>
      <c r="E12" s="3">
        <f>IF(B12="","",IFERROR(INDEX('Acceptance Criteria'!$G:$G,MATCH(B12,'Acceptance Criteria'!$A:$A,0)),IFERROR(INDEX('Delivery Standards'!$C:$C,MATCH(B12,'Delivery Standards'!$A:$A,0)),"⚠ Unknown AC ID")))</f>
        <v/>
      </c>
      <c r="F12" s="3" t="inlineStr">
        <is>
          <t>Folded items keep their names</t>
        </is>
      </c>
      <c r="G12" s="3" t="inlineStr">
        <is>
          <t>Accessibility</t>
        </is>
      </c>
      <c r="H12" s="3" t="inlineStr">
        <is>
          <t>The app is published and shared with the tester.</t>
        </is>
      </c>
      <c r="I12" s="3" t="inlineStr">
        <is>
          <t>1. Fold the sidebar.
2. Tab to the second icon with a screen reader running.</t>
        </is>
      </c>
      <c r="J12" s="3" t="inlineStr">
        <is>
          <t>The screen reader announces "All tickets".</t>
        </is>
      </c>
      <c r="K12" s="3" t="n"/>
      <c r="L12" s="3" t="inlineStr">
        <is>
          <t>Not Run</t>
        </is>
      </c>
      <c r="M12" s="3" t="n"/>
      <c r="N12" s="3" t="n"/>
    </row>
    <row r="13">
      <c r="A13" s="3" t="inlineStr">
        <is>
          <t>TC-HDR-001</t>
        </is>
      </c>
      <c r="B13" s="3" t="inlineStr">
        <is>
          <t>AC-ITH-04</t>
        </is>
      </c>
      <c r="C13" s="3" t="n">
        <v>1</v>
      </c>
      <c r="D13" s="3">
        <f>IF(B13="","",IFERROR(INDEX('Acceptance Criteria'!$D:$D,MATCH(B13,'Acceptance Criteria'!$A:$A,0)),IFERROR(INDEX('Delivery Standards'!$B:$B,MATCH(B13,'Delivery Standards'!$A:$A,0)),"⚠ Unknown AC ID")))</f>
        <v/>
      </c>
      <c r="E13" s="3">
        <f>IF(B13="","",IFERROR(INDEX('Acceptance Criteria'!$G:$G,MATCH(B13,'Acceptance Criteria'!$A:$A,0)),IFERROR(INDEX('Delivery Standards'!$C:$C,MATCH(B13,'Delivery Standards'!$A:$A,0)),"⚠ Unknown AC ID")))</f>
        <v/>
      </c>
      <c r="F13" s="3" t="inlineStr">
        <is>
          <t>Header contents in order</t>
        </is>
      </c>
      <c r="G13" s="3" t="inlineStr">
        <is>
          <t>Positive</t>
        </is>
      </c>
      <c r="H13" s="3" t="inlineStr">
        <is>
          <t>The app is published and shared with the tester.</t>
        </is>
      </c>
      <c r="I13" s="3" t="inlineStr">
        <is>
          <t>1. Read the header from left to right.</t>
        </is>
      </c>
      <c r="J13" s="3" t="inlineStr">
        <is>
          <t>Collapse button, breadcrumb, search box, "Create ticket", theme toggle, bell, avatar.</t>
        </is>
      </c>
      <c r="K13" s="3" t="n"/>
      <c r="L13" s="3" t="inlineStr">
        <is>
          <t>Not Run</t>
        </is>
      </c>
      <c r="M13" s="3" t="n"/>
      <c r="N13" s="3" t="n"/>
    </row>
    <row r="14">
      <c r="A14" s="3" t="inlineStr">
        <is>
          <t>TC-HDR-002</t>
        </is>
      </c>
      <c r="B14" s="3" t="inlineStr">
        <is>
          <t>AC-ITH-04</t>
        </is>
      </c>
      <c r="C14" s="3" t="n">
        <v>2</v>
      </c>
      <c r="D14" s="3">
        <f>IF(B14="","",IFERROR(INDEX('Acceptance Criteria'!$D:$D,MATCH(B14,'Acceptance Criteria'!$A:$A,0)),IFERROR(INDEX('Delivery Standards'!$B:$B,MATCH(B14,'Delivery Standards'!$A:$A,0)),"⚠ Unknown AC ID")))</f>
        <v/>
      </c>
      <c r="E14" s="3">
        <f>IF(B14="","",IFERROR(INDEX('Acceptance Criteria'!$G:$G,MATCH(B14,'Acceptance Criteria'!$A:$A,0)),IFERROR(INDEX('Delivery Standards'!$C:$C,MATCH(B14,'Delivery Standards'!$A:$A,0)),"⚠ Unknown AC ID")))</f>
        <v/>
      </c>
      <c r="F14" s="3" t="inlineStr">
        <is>
          <t>Breadcrumb on each view</t>
        </is>
      </c>
      <c r="G14" s="3" t="inlineStr">
        <is>
          <t>Positive</t>
        </is>
      </c>
      <c r="H14" s="3" t="inlineStr">
        <is>
          <t>The app is published and shared with the tester.</t>
        </is>
      </c>
      <c r="I14" s="3" t="inlineStr">
        <is>
          <t>1. Open each view in turn and read the breadcrumb.
2. Open a knowledge base article.</t>
        </is>
      </c>
      <c r="J14" s="3" t="inlineStr">
        <is>
          <t>"Helpdesk / &lt;view&gt;" for each; "Helpdesk / Knowledge base / &lt;article title&gt;" on an article.</t>
        </is>
      </c>
      <c r="K14" s="3" t="n"/>
      <c r="L14" s="3" t="inlineStr">
        <is>
          <t>Not Run</t>
        </is>
      </c>
      <c r="M14" s="3" t="n"/>
      <c r="N14" s="3" t="n"/>
    </row>
    <row r="15">
      <c r="A15" s="3" t="inlineStr">
        <is>
          <t>TC-HDR-003</t>
        </is>
      </c>
      <c r="B15" s="3" t="inlineStr">
        <is>
          <t>AC-ITH-04</t>
        </is>
      </c>
      <c r="C15" s="3" t="n">
        <v>3</v>
      </c>
      <c r="D15" s="3">
        <f>IF(B15="","",IFERROR(INDEX('Acceptance Criteria'!$D:$D,MATCH(B15,'Acceptance Criteria'!$A:$A,0)),IFERROR(INDEX('Delivery Standards'!$B:$B,MATCH(B15,'Delivery Standards'!$A:$A,0)),"⚠ Unknown AC ID")))</f>
        <v/>
      </c>
      <c r="E15" s="3">
        <f>IF(B15="","",IFERROR(INDEX('Acceptance Criteria'!$G:$G,MATCH(B15,'Acceptance Criteria'!$A:$A,0)),IFERROR(INDEX('Delivery Standards'!$C:$C,MATCH(B15,'Delivery Standards'!$A:$A,0)),"⚠ Unknown AC ID")))</f>
        <v/>
      </c>
      <c r="F15" s="3" t="inlineStr">
        <is>
          <t>Helpdesk link opens Overview</t>
        </is>
      </c>
      <c r="G15" s="3" t="inlineStr">
        <is>
          <t>Positive</t>
        </is>
      </c>
      <c r="H15" s="3" t="inlineStr">
        <is>
          <t>The app is published and shared with the tester.</t>
        </is>
      </c>
      <c r="I15" s="3" t="inlineStr">
        <is>
          <t>1. Open Settings.
2. Select "Helpdesk" in the breadcrumb.</t>
        </is>
      </c>
      <c r="J15" s="3" t="inlineStr">
        <is>
          <t>Overview opens.</t>
        </is>
      </c>
      <c r="K15" s="3" t="n"/>
      <c r="L15" s="3" t="inlineStr">
        <is>
          <t>Not Run</t>
        </is>
      </c>
      <c r="M15" s="3" t="n"/>
      <c r="N15" s="3" t="n"/>
    </row>
    <row r="16">
      <c r="A16" s="3" t="inlineStr">
        <is>
          <t>TC-HDR-004</t>
        </is>
      </c>
      <c r="B16" s="3" t="inlineStr">
        <is>
          <t>AC-ITH-04</t>
        </is>
      </c>
      <c r="C16" s="3" t="n">
        <v>4</v>
      </c>
      <c r="D16" s="3">
        <f>IF(B16="","",IFERROR(INDEX('Acceptance Criteria'!$D:$D,MATCH(B16,'Acceptance Criteria'!$A:$A,0)),IFERROR(INDEX('Delivery Standards'!$B:$B,MATCH(B16,'Delivery Standards'!$A:$A,0)),"⚠ Unknown AC ID")))</f>
        <v/>
      </c>
      <c r="E16" s="3">
        <f>IF(B16="","",IFERROR(INDEX('Acceptance Criteria'!$G:$G,MATCH(B16,'Acceptance Criteria'!$A:$A,0)),IFERROR(INDEX('Delivery Standards'!$C:$C,MATCH(B16,'Delivery Standards'!$A:$A,0)),"⚠ Unknown AC ID")))</f>
        <v/>
      </c>
      <c r="F16" s="3" t="inlineStr">
        <is>
          <t>Create ticket opens the form</t>
        </is>
      </c>
      <c r="G16" s="3" t="inlineStr">
        <is>
          <t>Positive</t>
        </is>
      </c>
      <c r="H16" s="3" t="inlineStr">
        <is>
          <t>The app is published and shared with the tester.</t>
        </is>
      </c>
      <c r="I16" s="3" t="inlineStr">
        <is>
          <t>1. Select "Create ticket" in the header.</t>
        </is>
      </c>
      <c r="J16" s="3" t="inlineStr">
        <is>
          <t>The create ticket form opens over the current screen.</t>
        </is>
      </c>
      <c r="K16" s="3" t="n"/>
      <c r="L16" s="3" t="inlineStr">
        <is>
          <t>Not Run</t>
        </is>
      </c>
      <c r="M16" s="3" t="n"/>
      <c r="N16" s="3" t="n"/>
    </row>
    <row r="17">
      <c r="A17" s="3" t="inlineStr">
        <is>
          <t>TC-HDR-005</t>
        </is>
      </c>
      <c r="B17" s="3" t="inlineStr">
        <is>
          <t>AC-ITH-05</t>
        </is>
      </c>
      <c r="C17" s="3" t="n">
        <v>1</v>
      </c>
      <c r="D17" s="3">
        <f>IF(B17="","",IFERROR(INDEX('Acceptance Criteria'!$D:$D,MATCH(B17,'Acceptance Criteria'!$A:$A,0)),IFERROR(INDEX('Delivery Standards'!$B:$B,MATCH(B17,'Delivery Standards'!$A:$A,0)),"⚠ Unknown AC ID")))</f>
        <v/>
      </c>
      <c r="E17" s="3">
        <f>IF(B17="","",IFERROR(INDEX('Acceptance Criteria'!$G:$G,MATCH(B17,'Acceptance Criteria'!$A:$A,0)),IFERROR(INDEX('Delivery Standards'!$C:$C,MATCH(B17,'Delivery Standards'!$A:$A,0)),"⚠ Unknown AC ID")))</f>
        <v/>
      </c>
      <c r="F17" s="3" t="inlineStr">
        <is>
          <t>Name and email come from the profile</t>
        </is>
      </c>
      <c r="G17" s="3" t="inlineStr">
        <is>
          <t>Positive</t>
        </is>
      </c>
      <c r="H17" s="3" t="inlineStr">
        <is>
          <t>The app is published and shared with the tester.</t>
        </is>
      </c>
      <c r="I17" s="3" t="inlineStr">
        <is>
          <t>1. Open the profile menu (avatar).</t>
        </is>
      </c>
      <c r="J17" s="3" t="inlineStr">
        <is>
          <t>The signed-in user's full name and email are shown, matching their Microsoft 365 profile.</t>
        </is>
      </c>
      <c r="K17" s="3" t="n"/>
      <c r="L17" s="3" t="inlineStr">
        <is>
          <t>Not Run</t>
        </is>
      </c>
      <c r="M17" s="3" t="n"/>
      <c r="N17" s="3" t="n"/>
    </row>
    <row r="18">
      <c r="A18" s="3" t="inlineStr">
        <is>
          <t>TC-HDR-006</t>
        </is>
      </c>
      <c r="B18" s="3" t="inlineStr">
        <is>
          <t>AC-ITH-05</t>
        </is>
      </c>
      <c r="C18" s="3" t="n">
        <v>2</v>
      </c>
      <c r="D18" s="3">
        <f>IF(B18="","",IFERROR(INDEX('Acceptance Criteria'!$D:$D,MATCH(B18,'Acceptance Criteria'!$A:$A,0)),IFERROR(INDEX('Delivery Standards'!$B:$B,MATCH(B18,'Delivery Standards'!$A:$A,0)),"⚠ Unknown AC ID")))</f>
        <v/>
      </c>
      <c r="E18" s="3">
        <f>IF(B18="","",IFERROR(INDEX('Acceptance Criteria'!$G:$G,MATCH(B18,'Acceptance Criteria'!$A:$A,0)),IFERROR(INDEX('Delivery Standards'!$C:$C,MATCH(B18,'Delivery Standards'!$A:$A,0)),"⚠ Unknown AC ID")))</f>
        <v/>
      </c>
      <c r="F18" s="3" t="inlineStr">
        <is>
          <t>Profile menu opens Settings</t>
        </is>
      </c>
      <c r="G18" s="3" t="inlineStr">
        <is>
          <t>Positive</t>
        </is>
      </c>
      <c r="H18" s="3" t="inlineStr">
        <is>
          <t>The app is published and shared with the tester.</t>
        </is>
      </c>
      <c r="I18" s="3" t="inlineStr">
        <is>
          <t>1. Select the avatar.
2. Select "Settings".</t>
        </is>
      </c>
      <c r="J18" s="3" t="inlineStr">
        <is>
          <t>Settings opens and the menu closes.</t>
        </is>
      </c>
      <c r="K18" s="3" t="n"/>
      <c r="L18" s="3" t="inlineStr">
        <is>
          <t>Not Run</t>
        </is>
      </c>
      <c r="M18" s="3" t="n"/>
      <c r="N18" s="3" t="n"/>
    </row>
    <row r="19">
      <c r="A19" s="3" t="inlineStr">
        <is>
          <t>TC-HDR-007</t>
        </is>
      </c>
      <c r="B19" s="3" t="inlineStr">
        <is>
          <t>AC-ITH-05</t>
        </is>
      </c>
      <c r="C19" s="3" t="n">
        <v>4</v>
      </c>
      <c r="D19" s="3">
        <f>IF(B19="","",IFERROR(INDEX('Acceptance Criteria'!$D:$D,MATCH(B19,'Acceptance Criteria'!$A:$A,0)),IFERROR(INDEX('Delivery Standards'!$B:$B,MATCH(B19,'Delivery Standards'!$A:$A,0)),"⚠ Unknown AC ID")))</f>
        <v/>
      </c>
      <c r="E19" s="3">
        <f>IF(B19="","",IFERROR(INDEX('Acceptance Criteria'!$G:$G,MATCH(B19,'Acceptance Criteria'!$A:$A,0)),IFERROR(INDEX('Delivery Standards'!$C:$C,MATCH(B19,'Delivery Standards'!$A:$A,0)),"⚠ Unknown AC ID")))</f>
        <v/>
      </c>
      <c r="F19" s="3" t="inlineStr">
        <is>
          <t>Only one menu open at a time</t>
        </is>
      </c>
      <c r="G19" s="3" t="inlineStr">
        <is>
          <t>Edge</t>
        </is>
      </c>
      <c r="H19" s="3" t="inlineStr">
        <is>
          <t>The app is published and shared with the tester.</t>
        </is>
      </c>
      <c r="I19" s="3" t="inlineStr">
        <is>
          <t>1. Open the bell menu.
2. Open the profile menu.</t>
        </is>
      </c>
      <c r="J19" s="3" t="inlineStr">
        <is>
          <t>The bell menu closes when the profile menu opens. Selecting elsewhere closes the open menu.</t>
        </is>
      </c>
      <c r="K19" s="3" t="n"/>
      <c r="L19" s="3" t="inlineStr">
        <is>
          <t>Not Run</t>
        </is>
      </c>
      <c r="M19" s="3" t="n"/>
      <c r="N19" s="3" t="n"/>
    </row>
    <row r="20">
      <c r="A20" s="3" t="inlineStr">
        <is>
          <t>TC-HDR-008</t>
        </is>
      </c>
      <c r="B20" s="3" t="inlineStr">
        <is>
          <t>AC-ITH-06</t>
        </is>
      </c>
      <c r="C20" s="3" t="n">
        <v>2</v>
      </c>
      <c r="D20" s="3">
        <f>IF(B20="","",IFERROR(INDEX('Acceptance Criteria'!$D:$D,MATCH(B20,'Acceptance Criteria'!$A:$A,0)),IFERROR(INDEX('Delivery Standards'!$B:$B,MATCH(B20,'Delivery Standards'!$A:$A,0)),"⚠ Unknown AC ID")))</f>
        <v/>
      </c>
      <c r="E20" s="3">
        <f>IF(B20="","",IFERROR(INDEX('Acceptance Criteria'!$G:$G,MATCH(B20,'Acceptance Criteria'!$A:$A,0)),IFERROR(INDEX('Delivery Standards'!$C:$C,MATCH(B20,'Delivery Standards'!$A:$A,0)),"⚠ Unknown AC ID")))</f>
        <v/>
      </c>
      <c r="F20" s="3" t="inlineStr">
        <is>
          <t>Global search by ID</t>
        </is>
      </c>
      <c r="G20" s="3" t="inlineStr">
        <is>
          <t>Positive</t>
        </is>
      </c>
      <c r="H20" s="3" t="inlineStr">
        <is>
          <t>Signed in as a technician (a row in ITH_UserRole with role Technician). The sample tickets from data-model.md exist.</t>
        </is>
      </c>
      <c r="I20" s="3" t="inlineStr">
        <is>
          <t>1. On Overview type "1004" in the header search.</t>
        </is>
      </c>
      <c r="J20" s="3" t="inlineStr">
        <is>
          <t>All tickets opens with only tickets whose ID or subject contains "1004"; the list's own search box shows "1004".</t>
        </is>
      </c>
      <c r="K20" s="3" t="n"/>
      <c r="L20" s="3" t="inlineStr">
        <is>
          <t>Not Run</t>
        </is>
      </c>
      <c r="M20" s="3" t="n"/>
      <c r="N20" s="3" t="n"/>
    </row>
    <row r="21">
      <c r="A21" s="3" t="inlineStr">
        <is>
          <t>TC-HDR-009</t>
        </is>
      </c>
      <c r="B21" s="3" t="inlineStr">
        <is>
          <t>AC-ITH-06</t>
        </is>
      </c>
      <c r="C21" s="3" t="n">
        <v>2</v>
      </c>
      <c r="D21" s="3">
        <f>IF(B21="","",IFERROR(INDEX('Acceptance Criteria'!$D:$D,MATCH(B21,'Acceptance Criteria'!$A:$A,0)),IFERROR(INDEX('Delivery Standards'!$B:$B,MATCH(B21,'Delivery Standards'!$A:$A,0)),"⚠ Unknown AC ID")))</f>
        <v/>
      </c>
      <c r="E21" s="3">
        <f>IF(B21="","",IFERROR(INDEX('Acceptance Criteria'!$G:$G,MATCH(B21,'Acceptance Criteria'!$A:$A,0)),IFERROR(INDEX('Delivery Standards'!$C:$C,MATCH(B21,'Delivery Standards'!$A:$A,0)),"⚠ Unknown AC ID")))</f>
        <v/>
      </c>
      <c r="F21" s="3" t="inlineStr">
        <is>
          <t>Global search is case-insensitive</t>
        </is>
      </c>
      <c r="G21" s="3" t="inlineStr">
        <is>
          <t>Edge</t>
        </is>
      </c>
      <c r="H21" s="3" t="inlineStr">
        <is>
          <t>Signed in as a technician (a row in ITH_UserRole with role Technician). The sample tickets from data-model.md exist.</t>
        </is>
      </c>
      <c r="I21" s="3" t="inlineStr">
        <is>
          <t>1. Type "VPN" in the header search.
2. Clear it and type "vpn".</t>
        </is>
      </c>
      <c r="J21" s="3" t="inlineStr">
        <is>
          <t>The same tickets are listed both times.</t>
        </is>
      </c>
      <c r="K21" s="3" t="n"/>
      <c r="L21" s="3" t="inlineStr">
        <is>
          <t>Not Run</t>
        </is>
      </c>
      <c r="M21" s="3" t="n"/>
      <c r="N21" s="3" t="n"/>
    </row>
    <row r="22">
      <c r="A22" s="3" t="inlineStr">
        <is>
          <t>TC-HDR-010</t>
        </is>
      </c>
      <c r="B22" s="3" t="inlineStr">
        <is>
          <t>AC-ITH-06</t>
        </is>
      </c>
      <c r="C22" s="3" t="n">
        <v>3</v>
      </c>
      <c r="D22" s="3">
        <f>IF(B22="","",IFERROR(INDEX('Acceptance Criteria'!$D:$D,MATCH(B22,'Acceptance Criteria'!$A:$A,0)),IFERROR(INDEX('Delivery Standards'!$B:$B,MATCH(B22,'Delivery Standards'!$A:$A,0)),"⚠ Unknown AC ID")))</f>
        <v/>
      </c>
      <c r="E22" s="3">
        <f>IF(B22="","",IFERROR(INDEX('Acceptance Criteria'!$G:$G,MATCH(B22,'Acceptance Criteria'!$A:$A,0)),IFERROR(INDEX('Delivery Standards'!$C:$C,MATCH(B22,'Delivery Standards'!$A:$A,0)),"⚠ Unknown AC ID")))</f>
        <v/>
      </c>
      <c r="F22" s="3" t="inlineStr">
        <is>
          <t>Typing resets the page</t>
        </is>
      </c>
      <c r="G22" s="3" t="inlineStr">
        <is>
          <t>Edge</t>
        </is>
      </c>
      <c r="H22" s="3" t="inlineStr">
        <is>
          <t>Signed in as a technician (a row in ITH_UserRole with role Technician). The sample tickets from data-model.md exist.</t>
        </is>
      </c>
      <c r="I22" s="3" t="inlineStr">
        <is>
          <t>1. Go to page 2 of All tickets.
2. Type a search word.</t>
        </is>
      </c>
      <c r="J22" s="3" t="inlineStr">
        <is>
          <t>The list is on page 1.</t>
        </is>
      </c>
      <c r="K22" s="3" t="n"/>
      <c r="L22" s="3" t="inlineStr">
        <is>
          <t>Not Run</t>
        </is>
      </c>
      <c r="M22" s="3" t="n"/>
      <c r="N22" s="3" t="n"/>
    </row>
    <row r="23">
      <c r="A23" s="3" t="inlineStr">
        <is>
          <t>TC-HDR-011</t>
        </is>
      </c>
      <c r="B23" s="3" t="inlineStr">
        <is>
          <t>AC-ITH-07</t>
        </is>
      </c>
      <c r="C23" s="3" t="n">
        <v>1</v>
      </c>
      <c r="D23" s="3">
        <f>IF(B23="","",IFERROR(INDEX('Acceptance Criteria'!$D:$D,MATCH(B23,'Acceptance Criteria'!$A:$A,0)),IFERROR(INDEX('Delivery Standards'!$B:$B,MATCH(B23,'Delivery Standards'!$A:$A,0)),"⚠ Unknown AC ID")))</f>
        <v/>
      </c>
      <c r="E23" s="3">
        <f>IF(B23="","",IFERROR(INDEX('Acceptance Criteria'!$G:$G,MATCH(B23,'Acceptance Criteria'!$A:$A,0)),IFERROR(INDEX('Delivery Standards'!$C:$C,MATCH(B23,'Delivery Standards'!$A:$A,0)),"⚠ Unknown AC ID")))</f>
        <v/>
      </c>
      <c r="F23" s="3" t="inlineStr">
        <is>
          <t>Notification dot until opened</t>
        </is>
      </c>
      <c r="G23" s="3" t="inlineStr">
        <is>
          <t>Positive</t>
        </is>
      </c>
      <c r="H23" s="3" t="inlineStr">
        <is>
          <t>Signed in as a technician (a row in ITH_UserRole with role Technician). The sample tickets from data-model.md exist.</t>
        </is>
      </c>
      <c r="I23" s="3" t="inlineStr">
        <is>
          <t>1. Sign in fresh.
2. Note the red dot on the bell.
3. Open the bell menu, close it.</t>
        </is>
      </c>
      <c r="J23" s="3" t="inlineStr">
        <is>
          <t>The dot shows before and is gone after opening.</t>
        </is>
      </c>
      <c r="K23" s="3" t="n"/>
      <c r="L23" s="3" t="inlineStr">
        <is>
          <t>Not Run</t>
        </is>
      </c>
      <c r="M23" s="3" t="n"/>
      <c r="N23" s="3" t="n"/>
    </row>
    <row r="24">
      <c r="A24" s="3" t="inlineStr">
        <is>
          <t>TC-HDR-012</t>
        </is>
      </c>
      <c r="B24" s="3" t="inlineStr">
        <is>
          <t>AC-ITH-07</t>
        </is>
      </c>
      <c r="C24" s="3" t="n">
        <v>2</v>
      </c>
      <c r="D24" s="3">
        <f>IF(B24="","",IFERROR(INDEX('Acceptance Criteria'!$D:$D,MATCH(B24,'Acceptance Criteria'!$A:$A,0)),IFERROR(INDEX('Delivery Standards'!$B:$B,MATCH(B24,'Delivery Standards'!$A:$A,0)),"⚠ Unknown AC ID")))</f>
        <v/>
      </c>
      <c r="E24" s="3">
        <f>IF(B24="","",IFERROR(INDEX('Acceptance Criteria'!$G:$G,MATCH(B24,'Acceptance Criteria'!$A:$A,0)),IFERROR(INDEX('Delivery Standards'!$C:$C,MATCH(B24,'Delivery Standards'!$A:$A,0)),"⚠ Unknown AC ID")))</f>
        <v/>
      </c>
      <c r="F24" s="3" t="inlineStr">
        <is>
          <t>Five latest entries</t>
        </is>
      </c>
      <c r="G24" s="3" t="inlineStr">
        <is>
          <t>Positive</t>
        </is>
      </c>
      <c r="H24" s="3" t="inlineStr">
        <is>
          <t>Signed in as a technician (a row in ITH_UserRole with role Technician). The sample tickets from data-model.md exist. More than 5 activity entries exist.</t>
        </is>
      </c>
      <c r="I24" s="3" t="inlineStr">
        <is>
          <t>1. Open the bell menu.</t>
        </is>
      </c>
      <c r="J24" s="3" t="inlineStr">
        <is>
          <t>Exactly the 5 most recent entries, newest first, each with its text and "&lt;ticket ID&gt; · &lt;relative time&gt;".</t>
        </is>
      </c>
      <c r="K24" s="3" t="n"/>
      <c r="L24" s="3" t="inlineStr">
        <is>
          <t>Not Run</t>
        </is>
      </c>
      <c r="M24" s="3" t="n"/>
      <c r="N24" s="3" t="n"/>
    </row>
    <row r="25">
      <c r="A25" s="3" t="inlineStr">
        <is>
          <t>TC-HDR-013</t>
        </is>
      </c>
      <c r="B25" s="3" t="inlineStr">
        <is>
          <t>AC-ITH-07</t>
        </is>
      </c>
      <c r="C25" s="3" t="n">
        <v>3</v>
      </c>
      <c r="D25" s="3">
        <f>IF(B25="","",IFERROR(INDEX('Acceptance Criteria'!$D:$D,MATCH(B25,'Acceptance Criteria'!$A:$A,0)),IFERROR(INDEX('Delivery Standards'!$B:$B,MATCH(B25,'Delivery Standards'!$A:$A,0)),"⚠ Unknown AC ID")))</f>
        <v/>
      </c>
      <c r="E25" s="3">
        <f>IF(B25="","",IFERROR(INDEX('Acceptance Criteria'!$G:$G,MATCH(B25,'Acceptance Criteria'!$A:$A,0)),IFERROR(INDEX('Delivery Standards'!$C:$C,MATCH(B25,'Delivery Standards'!$A:$A,0)),"⚠ Unknown AC ID")))</f>
        <v/>
      </c>
      <c r="F25" s="3" t="inlineStr">
        <is>
          <t>Relative times</t>
        </is>
      </c>
      <c r="G25" s="3" t="inlineStr">
        <is>
          <t>Boundary</t>
        </is>
      </c>
      <c r="H25" s="3" t="inlineStr">
        <is>
          <t>Signed in as a technician (a row in ITH_UserRole with role Technician). The sample tickets from data-model.md exist.</t>
        </is>
      </c>
      <c r="I25" s="3" t="inlineStr">
        <is>
          <t>1. Create a ticket.
2. Open the bell menu at once, then after 5 minutes and after an hour.</t>
        </is>
      </c>
      <c r="J25" s="3" t="inlineStr">
        <is>
          <t>"just now", "5 min ago", then "1 h ago".</t>
        </is>
      </c>
      <c r="K25" s="3" t="n"/>
      <c r="L25" s="3" t="inlineStr">
        <is>
          <t>Not Run</t>
        </is>
      </c>
      <c r="M25" s="3" t="n"/>
      <c r="N25" s="3" t="n"/>
    </row>
    <row r="26">
      <c r="A26" s="3" t="inlineStr">
        <is>
          <t>TC-HDR-014</t>
        </is>
      </c>
      <c r="B26" s="3" t="inlineStr">
        <is>
          <t>AC-ITH-07</t>
        </is>
      </c>
      <c r="C26" s="3" t="n">
        <v>4</v>
      </c>
      <c r="D26" s="3">
        <f>IF(B26="","",IFERROR(INDEX('Acceptance Criteria'!$D:$D,MATCH(B26,'Acceptance Criteria'!$A:$A,0)),IFERROR(INDEX('Delivery Standards'!$B:$B,MATCH(B26,'Delivery Standards'!$A:$A,0)),"⚠ Unknown AC ID")))</f>
        <v/>
      </c>
      <c r="E26" s="3">
        <f>IF(B26="","",IFERROR(INDEX('Acceptance Criteria'!$G:$G,MATCH(B26,'Acceptance Criteria'!$A:$A,0)),IFERROR(INDEX('Delivery Standards'!$C:$C,MATCH(B26,'Delivery Standards'!$A:$A,0)),"⚠ Unknown AC ID")))</f>
        <v/>
      </c>
      <c r="F26" s="3" t="inlineStr">
        <is>
          <t>Entry opens the ticket</t>
        </is>
      </c>
      <c r="G26" s="3" t="inlineStr">
        <is>
          <t>Positive</t>
        </is>
      </c>
      <c r="H26" s="3" t="inlineStr">
        <is>
          <t>Signed in as a technician (a row in ITH_UserRole with role Technician). The sample tickets from data-model.md exist.</t>
        </is>
      </c>
      <c r="I26" s="3" t="inlineStr">
        <is>
          <t>1. Open the bell menu.
2. Select the first entry.</t>
        </is>
      </c>
      <c r="J26" s="3" t="inlineStr">
        <is>
          <t>That ticket's detail panel opens and the menu closes.</t>
        </is>
      </c>
      <c r="K26" s="3" t="n"/>
      <c r="L26" s="3" t="inlineStr">
        <is>
          <t>Not Run</t>
        </is>
      </c>
      <c r="M26" s="3" t="n"/>
      <c r="N26" s="3" t="n"/>
    </row>
    <row r="27">
      <c r="A27" s="3" t="inlineStr">
        <is>
          <t>TC-HDR-015</t>
        </is>
      </c>
      <c r="B27" s="3" t="inlineStr">
        <is>
          <t>AC-ITH-07</t>
        </is>
      </c>
      <c r="C27" s="3" t="n">
        <v>2</v>
      </c>
      <c r="D27" s="3">
        <f>IF(B27="","",IFERROR(INDEX('Acceptance Criteria'!$D:$D,MATCH(B27,'Acceptance Criteria'!$A:$A,0)),IFERROR(INDEX('Delivery Standards'!$B:$B,MATCH(B27,'Delivery Standards'!$A:$A,0)),"⚠ Unknown AC ID")))</f>
        <v/>
      </c>
      <c r="E27" s="3">
        <f>IF(B27="","",IFERROR(INDEX('Acceptance Criteria'!$G:$G,MATCH(B27,'Acceptance Criteria'!$A:$A,0)),IFERROR(INDEX('Delivery Standards'!$C:$C,MATCH(B27,'Delivery Standards'!$A:$A,0)),"⚠ Unknown AC ID")))</f>
        <v/>
      </c>
      <c r="F27" s="3" t="inlineStr">
        <is>
          <t>Requester sees only own tickets' activity</t>
        </is>
      </c>
      <c r="G27" s="3" t="inlineStr">
        <is>
          <t>Negative</t>
        </is>
      </c>
      <c r="H27" s="3" t="inlineStr">
        <is>
          <t>Signed in as a requester (a row in ITH_UserRole with role Requester, or no row). Tickets HD-1 and HD-2 were raised by this user, others by other people.</t>
        </is>
      </c>
      <c r="I27" s="3" t="inlineStr">
        <is>
          <t>1. Open the bell menu.</t>
        </is>
      </c>
      <c r="J27" s="3" t="inlineStr">
        <is>
          <t>Only entries for tickets this user raised are listed.</t>
        </is>
      </c>
      <c r="K27" s="3" t="n"/>
      <c r="L27" s="3" t="inlineStr">
        <is>
          <t>Not Run</t>
        </is>
      </c>
      <c r="M27" s="3" t="n"/>
      <c r="N27" s="3" t="n"/>
    </row>
    <row r="28">
      <c r="A28" s="3" t="inlineStr">
        <is>
          <t>TC-HDR-016</t>
        </is>
      </c>
      <c r="B28" s="3" t="inlineStr">
        <is>
          <t>AC-ITH-08</t>
        </is>
      </c>
      <c r="C28" s="3" t="n">
        <v>1</v>
      </c>
      <c r="D28" s="3">
        <f>IF(B28="","",IFERROR(INDEX('Acceptance Criteria'!$D:$D,MATCH(B28,'Acceptance Criteria'!$A:$A,0)),IFERROR(INDEX('Delivery Standards'!$B:$B,MATCH(B28,'Delivery Standards'!$A:$A,0)),"⚠ Unknown AC ID")))</f>
        <v/>
      </c>
      <c r="E28" s="3">
        <f>IF(B28="","",IFERROR(INDEX('Acceptance Criteria'!$G:$G,MATCH(B28,'Acceptance Criteria'!$A:$A,0)),IFERROR(INDEX('Delivery Standards'!$C:$C,MATCH(B28,'Delivery Standards'!$A:$A,0)),"⚠ Unknown AC ID")))</f>
        <v/>
      </c>
      <c r="F28" s="3" t="inlineStr">
        <is>
          <t>Theme toggle</t>
        </is>
      </c>
      <c r="G28" s="3" t="inlineStr">
        <is>
          <t>Positive</t>
        </is>
      </c>
      <c r="H28" s="3" t="inlineStr">
        <is>
          <t>The app is published and shared with the tester.</t>
        </is>
      </c>
      <c r="I28" s="3" t="inlineStr">
        <is>
          <t>1. Select "Toggle dark theme".
2. Select it again.</t>
        </is>
      </c>
      <c r="J28" s="3" t="inlineStr">
        <is>
          <t>The app switches to the dark scheme (sun icon) and back to light (moon icon).</t>
        </is>
      </c>
      <c r="K28" s="3" t="n"/>
      <c r="L28" s="3" t="inlineStr">
        <is>
          <t>Not Run</t>
        </is>
      </c>
      <c r="M28" s="3" t="n"/>
      <c r="N28" s="3" t="n"/>
    </row>
    <row r="29">
      <c r="A29" s="3" t="inlineStr">
        <is>
          <t>TC-HDR-017</t>
        </is>
      </c>
      <c r="B29" s="3" t="inlineStr">
        <is>
          <t>AC-ITH-08</t>
        </is>
      </c>
      <c r="C29" s="3" t="n">
        <v>2</v>
      </c>
      <c r="D29" s="3">
        <f>IF(B29="","",IFERROR(INDEX('Acceptance Criteria'!$D:$D,MATCH(B29,'Acceptance Criteria'!$A:$A,0)),IFERROR(INDEX('Delivery Standards'!$B:$B,MATCH(B29,'Delivery Standards'!$A:$A,0)),"⚠ Unknown AC ID")))</f>
        <v/>
      </c>
      <c r="E29" s="3">
        <f>IF(B29="","",IFERROR(INDEX('Acceptance Criteria'!$G:$G,MATCH(B29,'Acceptance Criteria'!$A:$A,0)),IFERROR(INDEX('Delivery Standards'!$C:$C,MATCH(B29,'Delivery Standards'!$A:$A,0)),"⚠ Unknown AC ID")))</f>
        <v/>
      </c>
      <c r="F29" s="3" t="inlineStr">
        <is>
          <t>Every screen readable in both schemes</t>
        </is>
      </c>
      <c r="G29" s="3" t="inlineStr">
        <is>
          <t>UI</t>
        </is>
      </c>
      <c r="H29" s="3" t="inlineStr">
        <is>
          <t>The app is published and shared with the tester.</t>
        </is>
      </c>
      <c r="I29" s="3" t="inlineStr">
        <is>
          <t>1. In each scheme open every screen, the form, the detail panel and the close dialog.</t>
        </is>
      </c>
      <c r="J29" s="3" t="inlineStr">
        <is>
          <t>All text is readable; no element is invisible against its background.</t>
        </is>
      </c>
      <c r="K29" s="3" t="n"/>
      <c r="L29" s="3" t="inlineStr">
        <is>
          <t>Not Run</t>
        </is>
      </c>
      <c r="M29" s="3" t="n"/>
      <c r="N29" s="3" t="n"/>
    </row>
    <row r="30">
      <c r="A30" s="3" t="inlineStr">
        <is>
          <t>TC-LOOK-001</t>
        </is>
      </c>
      <c r="B30" s="3" t="inlineStr">
        <is>
          <t>AC-ITH-09</t>
        </is>
      </c>
      <c r="C30" s="3" t="n">
        <v>2</v>
      </c>
      <c r="D30" s="3">
        <f>IF(B30="","",IFERROR(INDEX('Acceptance Criteria'!$D:$D,MATCH(B30,'Acceptance Criteria'!$A:$A,0)),IFERROR(INDEX('Delivery Standards'!$B:$B,MATCH(B30,'Delivery Standards'!$A:$A,0)),"⚠ Unknown AC ID")))</f>
        <v/>
      </c>
      <c r="E30" s="3">
        <f>IF(B30="","",IFERROR(INDEX('Acceptance Criteria'!$G:$G,MATCH(B30,'Acceptance Criteria'!$A:$A,0)),IFERROR(INDEX('Delivery Standards'!$C:$C,MATCH(B30,'Delivery Standards'!$A:$A,0)),"⚠ Unknown AC ID")))</f>
        <v/>
      </c>
      <c r="F30" s="3" t="inlineStr">
        <is>
          <t>Status and priority badges</t>
        </is>
      </c>
      <c r="G30" s="3" t="inlineStr">
        <is>
          <t>UI</t>
        </is>
      </c>
      <c r="H30" s="3" t="inlineStr">
        <is>
          <t>Signed in as a technician (a row in ITH_UserRole with role Technician). The sample tickets from data-model.md exist.</t>
        </is>
      </c>
      <c r="I30" s="3" t="inlineStr">
        <is>
          <t>1. Open All tickets.
2. Compare the badges for each status and priority with the prototype (index (4).html).</t>
        </is>
      </c>
      <c r="J30" s="3" t="inlineStr">
        <is>
          <t>Each is a pill in the colour for that value, with its word; the same in the dark scheme.</t>
        </is>
      </c>
      <c r="K30" s="3" t="n"/>
      <c r="L30" s="3" t="inlineStr">
        <is>
          <t>Not Run</t>
        </is>
      </c>
      <c r="M30" s="3" t="n"/>
      <c r="N30" s="3" t="n"/>
    </row>
    <row r="31">
      <c r="A31" s="3" t="inlineStr">
        <is>
          <t>TC-LOOK-002</t>
        </is>
      </c>
      <c r="B31" s="3" t="inlineStr">
        <is>
          <t>AC-ITH-09</t>
        </is>
      </c>
      <c r="C31" s="3" t="n">
        <v>6</v>
      </c>
      <c r="D31" s="3">
        <f>IF(B31="","",IFERROR(INDEX('Acceptance Criteria'!$D:$D,MATCH(B31,'Acceptance Criteria'!$A:$A,0)),IFERROR(INDEX('Delivery Standards'!$B:$B,MATCH(B31,'Delivery Standards'!$A:$A,0)),"⚠ Unknown AC ID")))</f>
        <v/>
      </c>
      <c r="E31" s="3">
        <f>IF(B31="","",IFERROR(INDEX('Acceptance Criteria'!$G:$G,MATCH(B31,'Acceptance Criteria'!$A:$A,0)),IFERROR(INDEX('Delivery Standards'!$C:$C,MATCH(B31,'Delivery Standards'!$A:$A,0)),"⚠ Unknown AC ID")))</f>
        <v/>
      </c>
      <c r="F31" s="3" t="inlineStr">
        <is>
          <t>Contrast of badges</t>
        </is>
      </c>
      <c r="G31" s="3" t="inlineStr">
        <is>
          <t>Accessibility</t>
        </is>
      </c>
      <c r="H31" s="3" t="inlineStr">
        <is>
          <t>The app is published and shared with the tester.</t>
        </is>
      </c>
      <c r="I31" s="3" t="inlineStr">
        <is>
          <t>1. Measure text against its fill for every badge in both schemes.</t>
        </is>
      </c>
      <c r="J31" s="3" t="inlineStr">
        <is>
          <t>Every pair is at least 4.5:1 (design-spec section 2).</t>
        </is>
      </c>
      <c r="K31" s="3" t="n"/>
      <c r="L31" s="3" t="inlineStr">
        <is>
          <t>Not Run</t>
        </is>
      </c>
      <c r="M31" s="3" t="n"/>
      <c r="N31" s="3" t="n"/>
    </row>
    <row r="32">
      <c r="A32" s="3" t="inlineStr">
        <is>
          <t>TC-LOOK-003</t>
        </is>
      </c>
      <c r="B32" s="3" t="inlineStr">
        <is>
          <t>AC-ITH-09</t>
        </is>
      </c>
      <c r="C32" s="3" t="n">
        <v>1</v>
      </c>
      <c r="D32" s="3">
        <f>IF(B32="","",IFERROR(INDEX('Acceptance Criteria'!$D:$D,MATCH(B32,'Acceptance Criteria'!$A:$A,0)),IFERROR(INDEX('Delivery Standards'!$B:$B,MATCH(B32,'Delivery Standards'!$A:$A,0)),"⚠ Unknown AC ID")))</f>
        <v/>
      </c>
      <c r="E32" s="3">
        <f>IF(B32="","",IFERROR(INDEX('Acceptance Criteria'!$G:$G,MATCH(B32,'Acceptance Criteria'!$A:$A,0)),IFERROR(INDEX('Delivery Standards'!$C:$C,MATCH(B32,'Delivery Standards'!$A:$A,0)),"⚠ Unknown AC ID")))</f>
        <v/>
      </c>
      <c r="F32" s="3" t="inlineStr">
        <is>
          <t>Colours match the prototype</t>
        </is>
      </c>
      <c r="G32" s="3" t="inlineStr">
        <is>
          <t>UI</t>
        </is>
      </c>
      <c r="H32" s="3" t="inlineStr">
        <is>
          <t>The app is published and shared with the tester.</t>
        </is>
      </c>
      <c r="I32" s="3" t="inlineStr">
        <is>
          <t>1. Open Overview next to index (4).html at 1366 px wide in each scheme.</t>
        </is>
      </c>
      <c r="J32" s="3" t="inlineStr">
        <is>
          <t>Page, card, text and accent colours match; differences are in design-spec section 9.</t>
        </is>
      </c>
      <c r="K32" s="3" t="n"/>
      <c r="L32" s="3" t="inlineStr">
        <is>
          <t>Not Run</t>
        </is>
      </c>
      <c r="M32" s="3" t="n"/>
      <c r="N32" s="3" t="n"/>
    </row>
    <row r="33">
      <c r="A33" s="3" t="inlineStr">
        <is>
          <t>TC-LOOK-004</t>
        </is>
      </c>
      <c r="B33" s="3" t="inlineStr">
        <is>
          <t>AC-ITH-10</t>
        </is>
      </c>
      <c r="C33" s="3" t="n">
        <v>4</v>
      </c>
      <c r="D33" s="3">
        <f>IF(B33="","",IFERROR(INDEX('Acceptance Criteria'!$D:$D,MATCH(B33,'Acceptance Criteria'!$A:$A,0)),IFERROR(INDEX('Delivery Standards'!$B:$B,MATCH(B33,'Delivery Standards'!$A:$A,0)),"⚠ Unknown AC ID")))</f>
        <v/>
      </c>
      <c r="E33" s="3">
        <f>IF(B33="","",IFERROR(INDEX('Acceptance Criteria'!$G:$G,MATCH(B33,'Acceptance Criteria'!$A:$A,0)),IFERROR(INDEX('Delivery Standards'!$C:$C,MATCH(B33,'Delivery Standards'!$A:$A,0)),"⚠ Unknown AC ID")))</f>
        <v/>
      </c>
      <c r="F33" s="3" t="inlineStr">
        <is>
          <t>No phone layout (not built)</t>
        </is>
      </c>
      <c r="G33" s="3" t="inlineStr">
        <is>
          <t>Negative</t>
        </is>
      </c>
      <c r="H33" s="3" t="inlineStr">
        <is>
          <t>The app is published and shared with the tester.</t>
        </is>
      </c>
      <c r="I33" s="3" t="inlineStr">
        <is>
          <t>1. Open the app in a narrow window.</t>
        </is>
      </c>
      <c r="J33" s="3" t="inlineStr">
        <is>
          <t>No separate phone layout exists (PO decision Q-04); nothing breaks at 1366 px wide.</t>
        </is>
      </c>
      <c r="K33" s="3" t="n"/>
      <c r="L33" s="3" t="inlineStr">
        <is>
          <t>Not Run</t>
        </is>
      </c>
      <c r="M33" s="3" t="inlineStr">
        <is>
          <t>AC-ITH-10 is not built (Q-04).</t>
        </is>
      </c>
      <c r="N33" s="3" t="n"/>
    </row>
    <row r="34">
      <c r="A34" s="3" t="inlineStr">
        <is>
          <t>TC-OVW-001</t>
        </is>
      </c>
      <c r="B34" s="3" t="inlineStr">
        <is>
          <t>AC-ITH-11</t>
        </is>
      </c>
      <c r="C34" s="3" t="n">
        <v>1</v>
      </c>
      <c r="D34" s="3">
        <f>IF(B34="","",IFERROR(INDEX('Acceptance Criteria'!$D:$D,MATCH(B34,'Acceptance Criteria'!$A:$A,0)),IFERROR(INDEX('Delivery Standards'!$B:$B,MATCH(B34,'Delivery Standards'!$A:$A,0)),"⚠ Unknown AC ID")))</f>
        <v/>
      </c>
      <c r="E34" s="3">
        <f>IF(B34="","",IFERROR(INDEX('Acceptance Criteria'!$G:$G,MATCH(B34,'Acceptance Criteria'!$A:$A,0)),IFERROR(INDEX('Delivery Standards'!$C:$C,MATCH(B34,'Delivery Standards'!$A:$A,0)),"⚠ Unknown AC ID")))</f>
        <v/>
      </c>
      <c r="F34" s="3" t="inlineStr">
        <is>
          <t>Four cards in order</t>
        </is>
      </c>
      <c r="G34" s="3" t="inlineStr">
        <is>
          <t>Positive</t>
        </is>
      </c>
      <c r="H34" s="3" t="inlineStr">
        <is>
          <t>Signed in as a technician (a row in ITH_UserRole with role Technician). The sample tickets from data-model.md exist.</t>
        </is>
      </c>
      <c r="I34" s="3" t="inlineStr">
        <is>
          <t>1. Open Overview.</t>
        </is>
      </c>
      <c r="J34" s="3" t="inlineStr">
        <is>
          <t>"Total tickets", "Open", "In progress", "Resolved today".</t>
        </is>
      </c>
      <c r="K34" s="3" t="n"/>
      <c r="L34" s="3" t="inlineStr">
        <is>
          <t>Not Run</t>
        </is>
      </c>
      <c r="M34" s="3" t="n"/>
      <c r="N34" s="3" t="n"/>
    </row>
    <row r="35">
      <c r="A35" s="3" t="inlineStr">
        <is>
          <t>TC-OVW-002</t>
        </is>
      </c>
      <c r="B35" s="3" t="inlineStr">
        <is>
          <t>AC-ITH-11</t>
        </is>
      </c>
      <c r="C35" s="3" t="n">
        <v>2</v>
      </c>
      <c r="D35" s="3">
        <f>IF(B35="","",IFERROR(INDEX('Acceptance Criteria'!$D:$D,MATCH(B35,'Acceptance Criteria'!$A:$A,0)),IFERROR(INDEX('Delivery Standards'!$B:$B,MATCH(B35,'Delivery Standards'!$A:$A,0)),"⚠ Unknown AC ID")))</f>
        <v/>
      </c>
      <c r="E35" s="3">
        <f>IF(B35="","",IFERROR(INDEX('Acceptance Criteria'!$G:$G,MATCH(B35,'Acceptance Criteria'!$A:$A,0)),IFERROR(INDEX('Delivery Standards'!$C:$C,MATCH(B35,'Delivery Standards'!$A:$A,0)),"⚠ Unknown AC ID")))</f>
        <v/>
      </c>
      <c r="F35" s="3" t="inlineStr">
        <is>
          <t>Counts match the data</t>
        </is>
      </c>
      <c r="G35" s="3" t="inlineStr">
        <is>
          <t>Positive</t>
        </is>
      </c>
      <c r="H35" s="3" t="inlineStr">
        <is>
          <t>Signed in as a technician (a row in ITH_UserRole with role Technician). The sample tickets from data-model.md exist. 14 tickets: 5 Open, 4 In Progress, 2 Resolved today.</t>
        </is>
      </c>
      <c r="I35" s="3" t="inlineStr">
        <is>
          <t>1. Read the four numbers.</t>
        </is>
      </c>
      <c r="J35" s="3" t="inlineStr">
        <is>
          <t>14, 5, 4 and 2.</t>
        </is>
      </c>
      <c r="K35" s="3" t="n"/>
      <c r="L35" s="3" t="inlineStr">
        <is>
          <t>Not Run</t>
        </is>
      </c>
      <c r="M35" s="3" t="n"/>
      <c r="N35" s="3" t="n"/>
    </row>
    <row r="36">
      <c r="A36" s="3" t="inlineStr">
        <is>
          <t>TC-OVW-003</t>
        </is>
      </c>
      <c r="B36" s="3" t="inlineStr">
        <is>
          <t>AC-ITH-11</t>
        </is>
      </c>
      <c r="C36" s="3" t="n">
        <v>2</v>
      </c>
      <c r="D36" s="3">
        <f>IF(B36="","",IFERROR(INDEX('Acceptance Criteria'!$D:$D,MATCH(B36,'Acceptance Criteria'!$A:$A,0)),IFERROR(INDEX('Delivery Standards'!$B:$B,MATCH(B36,'Delivery Standards'!$A:$A,0)),"⚠ Unknown AC ID")))</f>
        <v/>
      </c>
      <c r="E36" s="3">
        <f>IF(B36="","",IFERROR(INDEX('Acceptance Criteria'!$G:$G,MATCH(B36,'Acceptance Criteria'!$A:$A,0)),IFERROR(INDEX('Delivery Standards'!$C:$C,MATCH(B36,'Delivery Standards'!$A:$A,0)),"⚠ Unknown AC ID")))</f>
        <v/>
      </c>
      <c r="F36" s="3" t="inlineStr">
        <is>
          <t>Resolved today ignores older resolutions</t>
        </is>
      </c>
      <c r="G36" s="3" t="inlineStr">
        <is>
          <t>Boundary</t>
        </is>
      </c>
      <c r="H36" s="3" t="inlineStr">
        <is>
          <t>Signed in as a technician (a row in ITH_UserRole with role Technician). The sample tickets from data-model.md exist.</t>
        </is>
      </c>
      <c r="I36" s="3" t="inlineStr">
        <is>
          <t>1. Resolve a ticket today.
2. Check a ticket resolved yesterday.</t>
        </is>
      </c>
      <c r="J36" s="3" t="inlineStr">
        <is>
          <t>Only the ticket resolved today is counted.</t>
        </is>
      </c>
      <c r="K36" s="3" t="n"/>
      <c r="L36" s="3" t="inlineStr">
        <is>
          <t>Not Run</t>
        </is>
      </c>
      <c r="M36" s="3" t="n"/>
      <c r="N36" s="3" t="n"/>
    </row>
    <row r="37">
      <c r="A37" s="3" t="inlineStr">
        <is>
          <t>TC-OVW-004</t>
        </is>
      </c>
      <c r="B37" s="3" t="inlineStr">
        <is>
          <t>AC-ITH-11</t>
        </is>
      </c>
      <c r="C37" s="3" t="n">
        <v>3</v>
      </c>
      <c r="D37" s="3">
        <f>IF(B37="","",IFERROR(INDEX('Acceptance Criteria'!$D:$D,MATCH(B37,'Acceptance Criteria'!$A:$A,0)),IFERROR(INDEX('Delivery Standards'!$B:$B,MATCH(B37,'Delivery Standards'!$A:$A,0)),"⚠ Unknown AC ID")))</f>
        <v/>
      </c>
      <c r="E37" s="3">
        <f>IF(B37="","",IFERROR(INDEX('Acceptance Criteria'!$G:$G,MATCH(B37,'Acceptance Criteria'!$A:$A,0)),IFERROR(INDEX('Delivery Standards'!$C:$C,MATCH(B37,'Delivery Standards'!$A:$A,0)),"⚠ Unknown AC ID")))</f>
        <v/>
      </c>
      <c r="F37" s="3" t="inlineStr">
        <is>
          <t>Requester's counts are their own</t>
        </is>
      </c>
      <c r="G37" s="3" t="inlineStr">
        <is>
          <t>Negative</t>
        </is>
      </c>
      <c r="H37" s="3" t="inlineStr">
        <is>
          <t>Signed in as a requester (a row in ITH_UserRole with role Requester, or no row). Tickets HD-1 and HD-2 were raised by this user, others by other people.</t>
        </is>
      </c>
      <c r="I37" s="3" t="inlineStr">
        <is>
          <t>1. Open Overview.</t>
        </is>
      </c>
      <c r="J37" s="3" t="inlineStr">
        <is>
          <t>Total tickets equals the number of tickets this user raised.</t>
        </is>
      </c>
      <c r="K37" s="3" t="n"/>
      <c r="L37" s="3" t="inlineStr">
        <is>
          <t>Not Run</t>
        </is>
      </c>
      <c r="M37" s="3" t="n"/>
      <c r="N37" s="3" t="n"/>
    </row>
    <row r="38">
      <c r="A38" s="3" t="inlineStr">
        <is>
          <t>TC-OVW-005</t>
        </is>
      </c>
      <c r="B38" s="3" t="inlineStr">
        <is>
          <t>AC-ITH-12</t>
        </is>
      </c>
      <c r="C38" s="3" t="n">
        <v>1</v>
      </c>
      <c r="D38" s="3">
        <f>IF(B38="","",IFERROR(INDEX('Acceptance Criteria'!$D:$D,MATCH(B38,'Acceptance Criteria'!$A:$A,0)),IFERROR(INDEX('Delivery Standards'!$B:$B,MATCH(B38,'Delivery Standards'!$A:$A,0)),"⚠ Unknown AC ID")))</f>
        <v/>
      </c>
      <c r="E38" s="3">
        <f>IF(B38="","",IFERROR(INDEX('Acceptance Criteria'!$G:$G,MATCH(B38,'Acceptance Criteria'!$A:$A,0)),IFERROR(INDEX('Delivery Standards'!$C:$C,MATCH(B38,'Delivery Standards'!$A:$A,0)),"⚠ Unknown AC ID")))</f>
        <v/>
      </c>
      <c r="F38" s="3" t="inlineStr">
        <is>
          <t>Recent tickets</t>
        </is>
      </c>
      <c r="G38" s="3" t="inlineStr">
        <is>
          <t>Positive</t>
        </is>
      </c>
      <c r="H38" s="3" t="inlineStr">
        <is>
          <t>Signed in as a technician (a row in ITH_UserRole with role Technician). The sample tickets from data-model.md exist. At least 7 tickets.</t>
        </is>
      </c>
      <c r="I38" s="3" t="inlineStr">
        <is>
          <t>1. Read "Recent tickets".</t>
        </is>
      </c>
      <c r="J38" s="3" t="inlineStr">
        <is>
          <t>6 rows, newest first, each with ID, subject, priority and status badges.</t>
        </is>
      </c>
      <c r="K38" s="3" t="n"/>
      <c r="L38" s="3" t="inlineStr">
        <is>
          <t>Not Run</t>
        </is>
      </c>
      <c r="M38" s="3" t="n"/>
      <c r="N38" s="3" t="n"/>
    </row>
    <row r="39">
      <c r="A39" s="3" t="inlineStr">
        <is>
          <t>TC-OVW-006</t>
        </is>
      </c>
      <c r="B39" s="3" t="inlineStr">
        <is>
          <t>AC-ITH-12</t>
        </is>
      </c>
      <c r="C39" s="3" t="n">
        <v>2</v>
      </c>
      <c r="D39" s="3">
        <f>IF(B39="","",IFERROR(INDEX('Acceptance Criteria'!$D:$D,MATCH(B39,'Acceptance Criteria'!$A:$A,0)),IFERROR(INDEX('Delivery Standards'!$B:$B,MATCH(B39,'Delivery Standards'!$A:$A,0)),"⚠ Unknown AC ID")))</f>
        <v/>
      </c>
      <c r="E39" s="3">
        <f>IF(B39="","",IFERROR(INDEX('Acceptance Criteria'!$G:$G,MATCH(B39,'Acceptance Criteria'!$A:$A,0)),IFERROR(INDEX('Delivery Standards'!$C:$C,MATCH(B39,'Delivery Standards'!$A:$A,0)),"⚠ Unknown AC ID")))</f>
        <v/>
      </c>
      <c r="F39" s="3" t="inlineStr">
        <is>
          <t>My assigned tickets exclude finished ones</t>
        </is>
      </c>
      <c r="G39" s="3" t="inlineStr">
        <is>
          <t>Positive</t>
        </is>
      </c>
      <c r="H39" s="3" t="inlineStr">
        <is>
          <t>Signed in as a technician (a row in ITH_UserRole with role Technician). The sample tickets from data-model.md exist. Assigned to Alex: 3 open, 1 Resolved.</t>
        </is>
      </c>
      <c r="I39" s="3" t="inlineStr">
        <is>
          <t>1. Read "My assigned tickets".</t>
        </is>
      </c>
      <c r="J39" s="3" t="inlineStr">
        <is>
          <t>The 3 open tickets only (at most 5).</t>
        </is>
      </c>
      <c r="K39" s="3" t="n"/>
      <c r="L39" s="3" t="inlineStr">
        <is>
          <t>Not Run</t>
        </is>
      </c>
      <c r="M39" s="3" t="n"/>
      <c r="N39" s="3" t="n"/>
    </row>
    <row r="40">
      <c r="A40" s="3" t="inlineStr">
        <is>
          <t>TC-OVW-007</t>
        </is>
      </c>
      <c r="B40" s="3" t="inlineStr">
        <is>
          <t>AC-ITH-12</t>
        </is>
      </c>
      <c r="C40" s="3" t="n">
        <v>3</v>
      </c>
      <c r="D40" s="3">
        <f>IF(B40="","",IFERROR(INDEX('Acceptance Criteria'!$D:$D,MATCH(B40,'Acceptance Criteria'!$A:$A,0)),IFERROR(INDEX('Delivery Standards'!$B:$B,MATCH(B40,'Delivery Standards'!$A:$A,0)),"⚠ Unknown AC ID")))</f>
        <v/>
      </c>
      <c r="E40" s="3">
        <f>IF(B40="","",IFERROR(INDEX('Acceptance Criteria'!$G:$G,MATCH(B40,'Acceptance Criteria'!$A:$A,0)),IFERROR(INDEX('Delivery Standards'!$C:$C,MATCH(B40,'Delivery Standards'!$A:$A,0)),"⚠ Unknown AC ID")))</f>
        <v/>
      </c>
      <c r="F40" s="3" t="inlineStr">
        <is>
          <t>View all buttons</t>
        </is>
      </c>
      <c r="G40" s="3" t="inlineStr">
        <is>
          <t>Positive</t>
        </is>
      </c>
      <c r="H40" s="3" t="inlineStr">
        <is>
          <t>Signed in as a technician (a row in ITH_UserRole with role Technician). The sample tickets from data-model.md exist.</t>
        </is>
      </c>
      <c r="I40" s="3" t="inlineStr">
        <is>
          <t>1. Select "View all" on each card.</t>
        </is>
      </c>
      <c r="J40" s="3" t="inlineStr">
        <is>
          <t>"Recent tickets" opens All tickets; "My assigned tickets" opens Assigned to me.</t>
        </is>
      </c>
      <c r="K40" s="3" t="n"/>
      <c r="L40" s="3" t="inlineStr">
        <is>
          <t>Not Run</t>
        </is>
      </c>
      <c r="M40" s="3" t="n"/>
      <c r="N40" s="3" t="n"/>
    </row>
    <row r="41">
      <c r="A41" s="3" t="inlineStr">
        <is>
          <t>TC-OVW-008</t>
        </is>
      </c>
      <c r="B41" s="3" t="inlineStr">
        <is>
          <t>AC-ITH-12</t>
        </is>
      </c>
      <c r="C41" s="3" t="n">
        <v>4</v>
      </c>
      <c r="D41" s="3">
        <f>IF(B41="","",IFERROR(INDEX('Acceptance Criteria'!$D:$D,MATCH(B41,'Acceptance Criteria'!$A:$A,0)),IFERROR(INDEX('Delivery Standards'!$B:$B,MATCH(B41,'Delivery Standards'!$A:$A,0)),"⚠ Unknown AC ID")))</f>
        <v/>
      </c>
      <c r="E41" s="3">
        <f>IF(B41="","",IFERROR(INDEX('Acceptance Criteria'!$G:$G,MATCH(B41,'Acceptance Criteria'!$A:$A,0)),IFERROR(INDEX('Delivery Standards'!$C:$C,MATCH(B41,'Delivery Standards'!$A:$A,0)),"⚠ Unknown AC ID")))</f>
        <v/>
      </c>
      <c r="F41" s="3" t="inlineStr">
        <is>
          <t>Row opens the ticket</t>
        </is>
      </c>
      <c r="G41" s="3" t="inlineStr">
        <is>
          <t>Positive</t>
        </is>
      </c>
      <c r="H41" s="3" t="inlineStr">
        <is>
          <t>Signed in as a technician (a row in ITH_UserRole with role Technician). The sample tickets from data-model.md exist.</t>
        </is>
      </c>
      <c r="I41" s="3" t="inlineStr">
        <is>
          <t>1. Select a row.
2. Close it, Tab to a row and press Enter.</t>
        </is>
      </c>
      <c r="J41" s="3" t="inlineStr">
        <is>
          <t>The ticket's detail opens both ways.</t>
        </is>
      </c>
      <c r="K41" s="3" t="n"/>
      <c r="L41" s="3" t="inlineStr">
        <is>
          <t>Not Run</t>
        </is>
      </c>
      <c r="M41" s="3" t="n"/>
      <c r="N41" s="3" t="n"/>
    </row>
    <row r="42">
      <c r="A42" s="3" t="inlineStr">
        <is>
          <t>TC-OVW-009</t>
        </is>
      </c>
      <c r="B42" s="3" t="inlineStr">
        <is>
          <t>AC-ITH-12</t>
        </is>
      </c>
      <c r="C42" s="3" t="n">
        <v>5</v>
      </c>
      <c r="D42" s="3">
        <f>IF(B42="","",IFERROR(INDEX('Acceptance Criteria'!$D:$D,MATCH(B42,'Acceptance Criteria'!$A:$A,0)),IFERROR(INDEX('Delivery Standards'!$B:$B,MATCH(B42,'Delivery Standards'!$A:$A,0)),"⚠ Unknown AC ID")))</f>
        <v/>
      </c>
      <c r="E42" s="3">
        <f>IF(B42="","",IFERROR(INDEX('Acceptance Criteria'!$G:$G,MATCH(B42,'Acceptance Criteria'!$A:$A,0)),IFERROR(INDEX('Delivery Standards'!$C:$C,MATCH(B42,'Delivery Standards'!$A:$A,0)),"⚠ Unknown AC ID")))</f>
        <v/>
      </c>
      <c r="F42" s="3" t="inlineStr">
        <is>
          <t>Empty card</t>
        </is>
      </c>
      <c r="G42" s="3" t="inlineStr">
        <is>
          <t>Edge</t>
        </is>
      </c>
      <c r="H42" s="3" t="inlineStr">
        <is>
          <t>Signed in as a requester (a row in ITH_UserRole with role Requester, or no row). Tickets HD-1 and HD-2 were raised by this user, others by other people. No assigned tickets.</t>
        </is>
      </c>
      <c r="I42" s="3" t="inlineStr">
        <is>
          <t>1. Read "My assigned tickets".</t>
        </is>
      </c>
      <c r="J42" s="3" t="inlineStr">
        <is>
          <t>"Nothing here yet."</t>
        </is>
      </c>
      <c r="K42" s="3" t="n"/>
      <c r="L42" s="3" t="inlineStr">
        <is>
          <t>Not Run</t>
        </is>
      </c>
      <c r="M42" s="3" t="n"/>
      <c r="N42" s="3" t="n"/>
    </row>
    <row r="43">
      <c r="A43" s="3" t="inlineStr">
        <is>
          <t>TC-OVW-010</t>
        </is>
      </c>
      <c r="B43" s="3" t="inlineStr">
        <is>
          <t>AC-ITH-13</t>
        </is>
      </c>
      <c r="C43" s="3" t="n">
        <v>1</v>
      </c>
      <c r="D43" s="3">
        <f>IF(B43="","",IFERROR(INDEX('Acceptance Criteria'!$D:$D,MATCH(B43,'Acceptance Criteria'!$A:$A,0)),IFERROR(INDEX('Delivery Standards'!$B:$B,MATCH(B43,'Delivery Standards'!$A:$A,0)),"⚠ Unknown AC ID")))</f>
        <v/>
      </c>
      <c r="E43" s="3">
        <f>IF(B43="","",IFERROR(INDEX('Acceptance Criteria'!$G:$G,MATCH(B43,'Acceptance Criteria'!$A:$A,0)),IFERROR(INDEX('Delivery Standards'!$C:$C,MATCH(B43,'Delivery Standards'!$A:$A,0)),"⚠ Unknown AC ID")))</f>
        <v/>
      </c>
      <c r="F43" s="3" t="inlineStr">
        <is>
          <t>Status bars</t>
        </is>
      </c>
      <c r="G43" s="3" t="inlineStr">
        <is>
          <t>Positive</t>
        </is>
      </c>
      <c r="H43" s="3" t="inlineStr">
        <is>
          <t>Signed in as a technician (a row in ITH_UserRole with role Technician). The sample tickets from data-model.md exist.</t>
        </is>
      </c>
      <c r="I43" s="3" t="inlineStr">
        <is>
          <t>1. Read "Tickets by status".</t>
        </is>
      </c>
      <c r="J43" s="3" t="inlineStr">
        <is>
          <t>One row per status with a bar proportional to its share and its count.</t>
        </is>
      </c>
      <c r="K43" s="3" t="n"/>
      <c r="L43" s="3" t="inlineStr">
        <is>
          <t>Not Run</t>
        </is>
      </c>
      <c r="M43" s="3" t="n"/>
      <c r="N43" s="3" t="n"/>
    </row>
    <row r="44">
      <c r="A44" s="3" t="inlineStr">
        <is>
          <t>TC-OVW-011</t>
        </is>
      </c>
      <c r="B44" s="3" t="inlineStr">
        <is>
          <t>AC-ITH-13</t>
        </is>
      </c>
      <c r="C44" s="3" t="n">
        <v>2</v>
      </c>
      <c r="D44" s="3">
        <f>IF(B44="","",IFERROR(INDEX('Acceptance Criteria'!$D:$D,MATCH(B44,'Acceptance Criteria'!$A:$A,0)),IFERROR(INDEX('Delivery Standards'!$B:$B,MATCH(B44,'Delivery Standards'!$A:$A,0)),"⚠ Unknown AC ID")))</f>
        <v/>
      </c>
      <c r="E44" s="3">
        <f>IF(B44="","",IFERROR(INDEX('Acceptance Criteria'!$G:$G,MATCH(B44,'Acceptance Criteria'!$A:$A,0)),IFERROR(INDEX('Delivery Standards'!$C:$C,MATCH(B44,'Delivery Standards'!$A:$A,0)),"⚠ Unknown AC ID")))</f>
        <v/>
      </c>
      <c r="F44" s="3" t="inlineStr">
        <is>
          <t>Priority split</t>
        </is>
      </c>
      <c r="G44" s="3" t="inlineStr">
        <is>
          <t>Positive</t>
        </is>
      </c>
      <c r="H44" s="3" t="inlineStr">
        <is>
          <t>Signed in as a technician (a row in ITH_UserRole with role Technician). The sample tickets from data-model.md exist.</t>
        </is>
      </c>
      <c r="I44" s="3" t="inlineStr">
        <is>
          <t>1. Read "Tickets by priority".</t>
        </is>
      </c>
      <c r="J44" s="3" t="inlineStr">
        <is>
          <t>A stacked bar and a legend "&lt;Priority&gt; &lt;count&gt;" with counts that sum to the total.</t>
        </is>
      </c>
      <c r="K44" s="3" t="n"/>
      <c r="L44" s="3" t="inlineStr">
        <is>
          <t>Not Run</t>
        </is>
      </c>
      <c r="M44" s="3" t="n"/>
      <c r="N44" s="3" t="n"/>
    </row>
    <row r="45">
      <c r="A45" s="3" t="inlineStr">
        <is>
          <t>TC-OVW-012</t>
        </is>
      </c>
      <c r="B45" s="3" t="inlineStr">
        <is>
          <t>AC-ITH-13</t>
        </is>
      </c>
      <c r="C45" s="3" t="n">
        <v>5</v>
      </c>
      <c r="D45" s="3">
        <f>IF(B45="","",IFERROR(INDEX('Acceptance Criteria'!$D:$D,MATCH(B45,'Acceptance Criteria'!$A:$A,0)),IFERROR(INDEX('Delivery Standards'!$B:$B,MATCH(B45,'Delivery Standards'!$A:$A,0)),"⚠ Unknown AC ID")))</f>
        <v/>
      </c>
      <c r="E45" s="3">
        <f>IF(B45="","",IFERROR(INDEX('Acceptance Criteria'!$G:$G,MATCH(B45,'Acceptance Criteria'!$A:$A,0)),IFERROR(INDEX('Delivery Standards'!$C:$C,MATCH(B45,'Delivery Standards'!$A:$A,0)),"⚠ Unknown AC ID")))</f>
        <v/>
      </c>
      <c r="F45" s="3" t="inlineStr">
        <is>
          <t>No tickets</t>
        </is>
      </c>
      <c r="G45" s="3" t="inlineStr">
        <is>
          <t>Edge</t>
        </is>
      </c>
      <c r="H45" s="3" t="inlineStr">
        <is>
          <t>Signed in as a requester (a row in ITH_UserRole with role Requester, or no row). Tickets HD-1 and HD-2 were raised by this user, others by other people. No tickets raised.</t>
        </is>
      </c>
      <c r="I45" s="3" t="inlineStr">
        <is>
          <t>1. Open Overview.</t>
        </is>
      </c>
      <c r="J45" s="3" t="inlineStr">
        <is>
          <t>Bars are empty and every count is 0.</t>
        </is>
      </c>
      <c r="K45" s="3" t="n"/>
      <c r="L45" s="3" t="inlineStr">
        <is>
          <t>Not Run</t>
        </is>
      </c>
      <c r="M45" s="3" t="n"/>
      <c r="N45" s="3" t="n"/>
    </row>
    <row r="46">
      <c r="A46" s="3" t="inlineStr">
        <is>
          <t>TC-OVW-013</t>
        </is>
      </c>
      <c r="B46" s="3" t="inlineStr">
        <is>
          <t>AC-ITH-14</t>
        </is>
      </c>
      <c r="C46" s="3" t="n">
        <v>1</v>
      </c>
      <c r="D46" s="3">
        <f>IF(B46="","",IFERROR(INDEX('Acceptance Criteria'!$D:$D,MATCH(B46,'Acceptance Criteria'!$A:$A,0)),IFERROR(INDEX('Delivery Standards'!$B:$B,MATCH(B46,'Delivery Standards'!$A:$A,0)),"⚠ Unknown AC ID")))</f>
        <v/>
      </c>
      <c r="E46" s="3">
        <f>IF(B46="","",IFERROR(INDEX('Acceptance Criteria'!$G:$G,MATCH(B46,'Acceptance Criteria'!$A:$A,0)),IFERROR(INDEX('Delivery Standards'!$C:$C,MATCH(B46,'Delivery Standards'!$A:$A,0)),"⚠ Unknown AC ID")))</f>
        <v/>
      </c>
      <c r="F46" s="3" t="inlineStr">
        <is>
          <t>Seven latest events</t>
        </is>
      </c>
      <c r="G46" s="3" t="inlineStr">
        <is>
          <t>Positive</t>
        </is>
      </c>
      <c r="H46" s="3" t="inlineStr">
        <is>
          <t>Signed in as a technician (a row in ITH_UserRole with role Technician). The sample tickets from data-model.md exist.</t>
        </is>
      </c>
      <c r="I46" s="3" t="inlineStr">
        <is>
          <t>1. Read "Recent activity".</t>
        </is>
      </c>
      <c r="J46" s="3" t="inlineStr">
        <is>
          <t>7 entries, newest first, each with a dot, the text and "&lt;ticket ID&gt; · &lt;relative time&gt;".</t>
        </is>
      </c>
      <c r="K46" s="3" t="n"/>
      <c r="L46" s="3" t="inlineStr">
        <is>
          <t>Not Run</t>
        </is>
      </c>
      <c r="M46" s="3" t="n"/>
      <c r="N46" s="3" t="n"/>
    </row>
    <row r="47">
      <c r="A47" s="3" t="inlineStr">
        <is>
          <t>TC-OVW-014</t>
        </is>
      </c>
      <c r="B47" s="3" t="inlineStr">
        <is>
          <t>AC-ITH-14</t>
        </is>
      </c>
      <c r="C47" s="3" t="n">
        <v>3</v>
      </c>
      <c r="D47" s="3">
        <f>IF(B47="","",IFERROR(INDEX('Acceptance Criteria'!$D:$D,MATCH(B47,'Acceptance Criteria'!$A:$A,0)),IFERROR(INDEX('Delivery Standards'!$B:$B,MATCH(B47,'Delivery Standards'!$A:$A,0)),"⚠ Unknown AC ID")))</f>
        <v/>
      </c>
      <c r="E47" s="3">
        <f>IF(B47="","",IFERROR(INDEX('Acceptance Criteria'!$G:$G,MATCH(B47,'Acceptance Criteria'!$A:$A,0)),IFERROR(INDEX('Delivery Standards'!$C:$C,MATCH(B47,'Delivery Standards'!$A:$A,0)),"⚠ Unknown AC ID")))</f>
        <v/>
      </c>
      <c r="F47" s="3" t="inlineStr">
        <is>
          <t>No activity</t>
        </is>
      </c>
      <c r="G47" s="3" t="inlineStr">
        <is>
          <t>Edge</t>
        </is>
      </c>
      <c r="H47" s="3" t="inlineStr">
        <is>
          <t>Signed in as a requester (a row in ITH_UserRole with role Requester, or no row). Tickets HD-1 and HD-2 were raised by this user, others by other people. No activity on own tickets.</t>
        </is>
      </c>
      <c r="I47" s="3" t="inlineStr">
        <is>
          <t>1. Read "Recent activity".</t>
        </is>
      </c>
      <c r="J47" s="3" t="inlineStr">
        <is>
          <t>A message says there is no recent activity.</t>
        </is>
      </c>
      <c r="K47" s="3" t="n"/>
      <c r="L47" s="3" t="inlineStr">
        <is>
          <t>Not Run</t>
        </is>
      </c>
      <c r="M47" s="3" t="n"/>
      <c r="N47" s="3" t="n"/>
    </row>
    <row r="48">
      <c r="A48" s="3" t="inlineStr">
        <is>
          <t>TC-TKT-001</t>
        </is>
      </c>
      <c r="B48" s="3" t="inlineStr">
        <is>
          <t>AC-ITH-15</t>
        </is>
      </c>
      <c r="C48" s="3" t="n">
        <v>1</v>
      </c>
      <c r="D48" s="3">
        <f>IF(B48="","",IFERROR(INDEX('Acceptance Criteria'!$D:$D,MATCH(B48,'Acceptance Criteria'!$A:$A,0)),IFERROR(INDEX('Delivery Standards'!$B:$B,MATCH(B48,'Delivery Standards'!$A:$A,0)),"⚠ Unknown AC ID")))</f>
        <v/>
      </c>
      <c r="E48" s="3">
        <f>IF(B48="","",IFERROR(INDEX('Acceptance Criteria'!$G:$G,MATCH(B48,'Acceptance Criteria'!$A:$A,0)),IFERROR(INDEX('Delivery Standards'!$C:$C,MATCH(B48,'Delivery Standards'!$A:$A,0)),"⚠ Unknown AC ID")))</f>
        <v/>
      </c>
      <c r="F48" s="3" t="inlineStr">
        <is>
          <t>Heading and description</t>
        </is>
      </c>
      <c r="G48" s="3" t="inlineStr">
        <is>
          <t>Positive</t>
        </is>
      </c>
      <c r="H48" s="3" t="inlineStr">
        <is>
          <t>Signed in as a technician (a row in ITH_UserRole with role Technician). The sample tickets from data-model.md exist.</t>
        </is>
      </c>
      <c r="I48" s="3" t="inlineStr">
        <is>
          <t>1. Open All tickets.</t>
        </is>
      </c>
      <c r="J48" s="3" t="inlineStr">
        <is>
          <t>"All tickets" and "Every ticket in the helpdesk."</t>
        </is>
      </c>
      <c r="K48" s="3" t="n"/>
      <c r="L48" s="3" t="inlineStr">
        <is>
          <t>Not Run</t>
        </is>
      </c>
      <c r="M48" s="3" t="n"/>
      <c r="N48" s="3" t="n"/>
    </row>
    <row r="49">
      <c r="A49" s="3" t="inlineStr">
        <is>
          <t>TC-TKT-002</t>
        </is>
      </c>
      <c r="B49" s="3" t="inlineStr">
        <is>
          <t>AC-ITH-15</t>
        </is>
      </c>
      <c r="C49" s="3" t="n">
        <v>2</v>
      </c>
      <c r="D49" s="3">
        <f>IF(B49="","",IFERROR(INDEX('Acceptance Criteria'!$D:$D,MATCH(B49,'Acceptance Criteria'!$A:$A,0)),IFERROR(INDEX('Delivery Standards'!$B:$B,MATCH(B49,'Delivery Standards'!$A:$A,0)),"⚠ Unknown AC ID")))</f>
        <v/>
      </c>
      <c r="E49" s="3">
        <f>IF(B49="","",IFERROR(INDEX('Acceptance Criteria'!$G:$G,MATCH(B49,'Acceptance Criteria'!$A:$A,0)),IFERROR(INDEX('Delivery Standards'!$C:$C,MATCH(B49,'Delivery Standards'!$A:$A,0)),"⚠ Unknown AC ID")))</f>
        <v/>
      </c>
      <c r="F49" s="3" t="inlineStr">
        <is>
          <t>Columns</t>
        </is>
      </c>
      <c r="G49" s="3" t="inlineStr">
        <is>
          <t>Positive</t>
        </is>
      </c>
      <c r="H49" s="3" t="inlineStr">
        <is>
          <t>Signed in as a technician (a row in ITH_UserRole with role Technician). The sample tickets from data-model.md exist.</t>
        </is>
      </c>
      <c r="I49" s="3" t="inlineStr">
        <is>
          <t>1. Read the table header.</t>
        </is>
      </c>
      <c r="J49" s="3" t="inlineStr">
        <is>
          <t>Ticket ID, Subject, Requester, Category, Priority, Assigned to, Status, Created, Actions.</t>
        </is>
      </c>
      <c r="K49" s="3" t="n"/>
      <c r="L49" s="3" t="inlineStr">
        <is>
          <t>Not Run</t>
        </is>
      </c>
      <c r="M49" s="3" t="n"/>
      <c r="N49" s="3" t="n"/>
    </row>
    <row r="50">
      <c r="A50" s="3" t="inlineStr">
        <is>
          <t>TC-TKT-003</t>
        </is>
      </c>
      <c r="B50" s="3" t="inlineStr">
        <is>
          <t>AC-ITH-15</t>
        </is>
      </c>
      <c r="C50" s="3" t="n">
        <v>3</v>
      </c>
      <c r="D50" s="3">
        <f>IF(B50="","",IFERROR(INDEX('Acceptance Criteria'!$D:$D,MATCH(B50,'Acceptance Criteria'!$A:$A,0)),IFERROR(INDEX('Delivery Standards'!$B:$B,MATCH(B50,'Delivery Standards'!$A:$A,0)),"⚠ Unknown AC ID")))</f>
        <v/>
      </c>
      <c r="E50" s="3">
        <f>IF(B50="","",IFERROR(INDEX('Acceptance Criteria'!$G:$G,MATCH(B50,'Acceptance Criteria'!$A:$A,0)),IFERROR(INDEX('Delivery Standards'!$C:$C,MATCH(B50,'Delivery Standards'!$A:$A,0)),"⚠ Unknown AC ID")))</f>
        <v/>
      </c>
      <c r="F50" s="3" t="inlineStr">
        <is>
          <t>Row contents</t>
        </is>
      </c>
      <c r="G50" s="3" t="inlineStr">
        <is>
          <t>Positive</t>
        </is>
      </c>
      <c r="H50" s="3" t="inlineStr">
        <is>
          <t>Signed in as a technician (a row in ITH_UserRole with role Technician). The sample tickets from data-model.md exist.</t>
        </is>
      </c>
      <c r="I50" s="3" t="inlineStr">
        <is>
          <t>1. Read a ticket with an assignee and one without.</t>
        </is>
      </c>
      <c r="J50" s="3" t="inlineStr">
        <is>
          <t>ID, subject, requester, category, badges, "Unassigned" in muted text when blank, created date as "05 Oct 2026".</t>
        </is>
      </c>
      <c r="K50" s="3" t="n"/>
      <c r="L50" s="3" t="inlineStr">
        <is>
          <t>Not Run</t>
        </is>
      </c>
      <c r="M50" s="3" t="n"/>
      <c r="N50" s="3" t="n"/>
    </row>
    <row r="51">
      <c r="A51" s="3" t="inlineStr">
        <is>
          <t>TC-TKT-004</t>
        </is>
      </c>
      <c r="B51" s="3" t="inlineStr">
        <is>
          <t>AC-ITH-15</t>
        </is>
      </c>
      <c r="C51" s="3" t="n">
        <v>3</v>
      </c>
      <c r="D51" s="3">
        <f>IF(B51="","",IFERROR(INDEX('Acceptance Criteria'!$D:$D,MATCH(B51,'Acceptance Criteria'!$A:$A,0)),IFERROR(INDEX('Delivery Standards'!$B:$B,MATCH(B51,'Delivery Standards'!$A:$A,0)),"⚠ Unknown AC ID")))</f>
        <v/>
      </c>
      <c r="E51" s="3">
        <f>IF(B51="","",IFERROR(INDEX('Acceptance Criteria'!$G:$G,MATCH(B51,'Acceptance Criteria'!$A:$A,0)),IFERROR(INDEX('Delivery Standards'!$C:$C,MATCH(B51,'Delivery Standards'!$A:$A,0)),"⚠ Unknown AC ID")))</f>
        <v/>
      </c>
      <c r="F51" s="3" t="inlineStr">
        <is>
          <t>Long subject</t>
        </is>
      </c>
      <c r="G51" s="3" t="inlineStr">
        <is>
          <t>Edge</t>
        </is>
      </c>
      <c r="H51" s="3" t="inlineStr">
        <is>
          <t>Signed in as a technician (a row in ITH_UserRole with role Technician). The sample tickets from data-model.md exist. A ticket with a 90-character subject.</t>
        </is>
      </c>
      <c r="I51" s="3" t="inlineStr">
        <is>
          <t>1. Find that ticket in the list.</t>
        </is>
      </c>
      <c r="J51" s="3" t="inlineStr">
        <is>
          <t>The subject is cut with an ellipsis; the row height does not change.</t>
        </is>
      </c>
      <c r="K51" s="3" t="n"/>
      <c r="L51" s="3" t="inlineStr">
        <is>
          <t>Not Run</t>
        </is>
      </c>
      <c r="M51" s="3" t="n"/>
      <c r="N51" s="3" t="n"/>
    </row>
    <row r="52">
      <c r="A52" s="3" t="inlineStr">
        <is>
          <t>TC-TKT-005</t>
        </is>
      </c>
      <c r="B52" s="3" t="inlineStr">
        <is>
          <t>AC-ITH-15</t>
        </is>
      </c>
      <c r="C52" s="3" t="n">
        <v>4</v>
      </c>
      <c r="D52" s="3">
        <f>IF(B52="","",IFERROR(INDEX('Acceptance Criteria'!$D:$D,MATCH(B52,'Acceptance Criteria'!$A:$A,0)),IFERROR(INDEX('Delivery Standards'!$B:$B,MATCH(B52,'Delivery Standards'!$A:$A,0)),"⚠ Unknown AC ID")))</f>
        <v/>
      </c>
      <c r="E52" s="3">
        <f>IF(B52="","",IFERROR(INDEX('Acceptance Criteria'!$G:$G,MATCH(B52,'Acceptance Criteria'!$A:$A,0)),IFERROR(INDEX('Delivery Standards'!$C:$C,MATCH(B52,'Delivery Standards'!$A:$A,0)),"⚠ Unknown AC ID")))</f>
        <v/>
      </c>
      <c r="F52" s="3" t="inlineStr">
        <is>
          <t>Default sort</t>
        </is>
      </c>
      <c r="G52" s="3" t="inlineStr">
        <is>
          <t>Positive</t>
        </is>
      </c>
      <c r="H52" s="3" t="inlineStr">
        <is>
          <t>Signed in as a technician (a row in ITH_UserRole with role Technician). The sample tickets from data-model.md exist.</t>
        </is>
      </c>
      <c r="I52" s="3" t="inlineStr">
        <is>
          <t>1. Open All tickets.</t>
        </is>
      </c>
      <c r="J52" s="3" t="inlineStr">
        <is>
          <t>Newest ticket first.</t>
        </is>
      </c>
      <c r="K52" s="3" t="n"/>
      <c r="L52" s="3" t="inlineStr">
        <is>
          <t>Not Run</t>
        </is>
      </c>
      <c r="M52" s="3" t="n"/>
      <c r="N52" s="3" t="n"/>
    </row>
    <row r="53">
      <c r="A53" s="3" t="inlineStr">
        <is>
          <t>TC-TKT-006</t>
        </is>
      </c>
      <c r="B53" s="3" t="inlineStr">
        <is>
          <t>AC-ITH-15</t>
        </is>
      </c>
      <c r="C53" s="3" t="n">
        <v>6</v>
      </c>
      <c r="D53" s="3">
        <f>IF(B53="","",IFERROR(INDEX('Acceptance Criteria'!$D:$D,MATCH(B53,'Acceptance Criteria'!$A:$A,0)),IFERROR(INDEX('Delivery Standards'!$B:$B,MATCH(B53,'Delivery Standards'!$A:$A,0)),"⚠ Unknown AC ID")))</f>
        <v/>
      </c>
      <c r="E53" s="3">
        <f>IF(B53="","",IFERROR(INDEX('Acceptance Criteria'!$G:$G,MATCH(B53,'Acceptance Criteria'!$A:$A,0)),IFERROR(INDEX('Delivery Standards'!$C:$C,MATCH(B53,'Delivery Standards'!$A:$A,0)),"⚠ Unknown AC ID")))</f>
        <v/>
      </c>
      <c r="F53" s="3" t="inlineStr">
        <is>
          <t>Requester sees only own tickets</t>
        </is>
      </c>
      <c r="G53" s="3" t="inlineStr">
        <is>
          <t>Negative</t>
        </is>
      </c>
      <c r="H53" s="3" t="inlineStr">
        <is>
          <t>Signed in as a requester (a row in ITH_UserRole with role Requester, or no row). Tickets HD-1 and HD-2 were raised by this user, others by other people.</t>
        </is>
      </c>
      <c r="I53" s="3" t="inlineStr">
        <is>
          <t>1. Open All tickets.</t>
        </is>
      </c>
      <c r="J53" s="3" t="inlineStr">
        <is>
          <t>Only tickets raised by this user are listed.</t>
        </is>
      </c>
      <c r="K53" s="3" t="n"/>
      <c r="L53" s="3" t="inlineStr">
        <is>
          <t>Not Run</t>
        </is>
      </c>
      <c r="M53" s="3" t="n"/>
      <c r="N53" s="3" t="n"/>
    </row>
    <row r="54">
      <c r="A54" s="3" t="inlineStr">
        <is>
          <t>TC-TKT-007</t>
        </is>
      </c>
      <c r="B54" s="3" t="inlineStr">
        <is>
          <t>AC-ITH-16</t>
        </is>
      </c>
      <c r="C54" s="3" t="n">
        <v>1</v>
      </c>
      <c r="D54" s="3">
        <f>IF(B54="","",IFERROR(INDEX('Acceptance Criteria'!$D:$D,MATCH(B54,'Acceptance Criteria'!$A:$A,0)),IFERROR(INDEX('Delivery Standards'!$B:$B,MATCH(B54,'Delivery Standards'!$A:$A,0)),"⚠ Unknown AC ID")))</f>
        <v/>
      </c>
      <c r="E54" s="3">
        <f>IF(B54="","",IFERROR(INDEX('Acceptance Criteria'!$G:$G,MATCH(B54,'Acceptance Criteria'!$A:$A,0)),IFERROR(INDEX('Delivery Standards'!$C:$C,MATCH(B54,'Delivery Standards'!$A:$A,0)),"⚠ Unknown AC ID")))</f>
        <v/>
      </c>
      <c r="F54" s="3" t="inlineStr">
        <is>
          <t>Search</t>
        </is>
      </c>
      <c r="G54" s="3" t="inlineStr">
        <is>
          <t>Positive</t>
        </is>
      </c>
      <c r="H54" s="3" t="inlineStr">
        <is>
          <t>Signed in as a technician (a row in ITH_UserRole with role Technician). The sample tickets from data-model.md exist.</t>
        </is>
      </c>
      <c r="I54" s="3" t="inlineStr">
        <is>
          <t>1. Type "outlook" in the list's search box.</t>
        </is>
      </c>
      <c r="J54" s="3" t="inlineStr">
        <is>
          <t>Only tickets whose ID or subject contain "outlook".</t>
        </is>
      </c>
      <c r="K54" s="3" t="n"/>
      <c r="L54" s="3" t="inlineStr">
        <is>
          <t>Not Run</t>
        </is>
      </c>
      <c r="M54" s="3" t="n"/>
      <c r="N54" s="3" t="n"/>
    </row>
    <row r="55">
      <c r="A55" s="3" t="inlineStr">
        <is>
          <t>TC-TKT-008</t>
        </is>
      </c>
      <c r="B55" s="3" t="inlineStr">
        <is>
          <t>AC-ITH-16</t>
        </is>
      </c>
      <c r="C55" s="3" t="n">
        <v>2</v>
      </c>
      <c r="D55" s="3">
        <f>IF(B55="","",IFERROR(INDEX('Acceptance Criteria'!$D:$D,MATCH(B55,'Acceptance Criteria'!$A:$A,0)),IFERROR(INDEX('Delivery Standards'!$B:$B,MATCH(B55,'Delivery Standards'!$A:$A,0)),"⚠ Unknown AC ID")))</f>
        <v/>
      </c>
      <c r="E55" s="3">
        <f>IF(B55="","",IFERROR(INDEX('Acceptance Criteria'!$G:$G,MATCH(B55,'Acceptance Criteria'!$A:$A,0)),IFERROR(INDEX('Delivery Standards'!$C:$C,MATCH(B55,'Delivery Standards'!$A:$A,0)),"⚠ Unknown AC ID")))</f>
        <v/>
      </c>
      <c r="F55" s="3" t="inlineStr">
        <is>
          <t>Filter options</t>
        </is>
      </c>
      <c r="G55" s="3" t="inlineStr">
        <is>
          <t>Positive</t>
        </is>
      </c>
      <c r="H55" s="3" t="inlineStr">
        <is>
          <t>Signed in as a technician (a row in ITH_UserRole with role Technician). The sample tickets from data-model.md exist.</t>
        </is>
      </c>
      <c r="I55" s="3" t="inlineStr">
        <is>
          <t>1. Open each of the three drop-downs.</t>
        </is>
      </c>
      <c r="J55" s="3" t="inlineStr">
        <is>
          <t>Status: All statuses, Open, In Progress, On Hold, Resolved, Closed. Priority: All priorities, Low, Medium, High, Critical. Category: All categories, Hardware, Software, Network, Access, Other.</t>
        </is>
      </c>
      <c r="K55" s="3" t="n"/>
      <c r="L55" s="3" t="inlineStr">
        <is>
          <t>Not Run</t>
        </is>
      </c>
      <c r="M55" s="3" t="n"/>
      <c r="N55" s="3" t="n"/>
    </row>
    <row r="56">
      <c r="A56" s="3" t="inlineStr">
        <is>
          <t>TC-TKT-009</t>
        </is>
      </c>
      <c r="B56" s="3" t="inlineStr">
        <is>
          <t>AC-ITH-16</t>
        </is>
      </c>
      <c r="C56" s="3" t="n">
        <v>3</v>
      </c>
      <c r="D56" s="3">
        <f>IF(B56="","",IFERROR(INDEX('Acceptance Criteria'!$D:$D,MATCH(B56,'Acceptance Criteria'!$A:$A,0)),IFERROR(INDEX('Delivery Standards'!$B:$B,MATCH(B56,'Delivery Standards'!$A:$A,0)),"⚠ Unknown AC ID")))</f>
        <v/>
      </c>
      <c r="E56" s="3">
        <f>IF(B56="","",IFERROR(INDEX('Acceptance Criteria'!$G:$G,MATCH(B56,'Acceptance Criteria'!$A:$A,0)),IFERROR(INDEX('Delivery Standards'!$C:$C,MATCH(B56,'Delivery Standards'!$A:$A,0)),"⚠ Unknown AC ID")))</f>
        <v/>
      </c>
      <c r="F56" s="3" t="inlineStr">
        <is>
          <t>Filters combine</t>
        </is>
      </c>
      <c r="G56" s="3" t="inlineStr">
        <is>
          <t>Positive</t>
        </is>
      </c>
      <c r="H56" s="3" t="inlineStr">
        <is>
          <t>Signed in as a technician (a row in ITH_UserRole with role Technician). The sample tickets from data-model.md exist.</t>
        </is>
      </c>
      <c r="I56" s="3" t="inlineStr">
        <is>
          <t>1. Set Status to Open and Priority to High and type "vpn".</t>
        </is>
      </c>
      <c r="J56" s="3" t="inlineStr">
        <is>
          <t>Only tickets that are Open and High and match "vpn".</t>
        </is>
      </c>
      <c r="K56" s="3" t="n"/>
      <c r="L56" s="3" t="inlineStr">
        <is>
          <t>Not Run</t>
        </is>
      </c>
      <c r="M56" s="3" t="n"/>
      <c r="N56" s="3" t="n"/>
    </row>
    <row r="57">
      <c r="A57" s="3" t="inlineStr">
        <is>
          <t>TC-TKT-010</t>
        </is>
      </c>
      <c r="B57" s="3" t="inlineStr">
        <is>
          <t>AC-ITH-16</t>
        </is>
      </c>
      <c r="C57" s="3" t="n">
        <v>4</v>
      </c>
      <c r="D57" s="3">
        <f>IF(B57="","",IFERROR(INDEX('Acceptance Criteria'!$D:$D,MATCH(B57,'Acceptance Criteria'!$A:$A,0)),IFERROR(INDEX('Delivery Standards'!$B:$B,MATCH(B57,'Delivery Standards'!$A:$A,0)),"⚠ Unknown AC ID")))</f>
        <v/>
      </c>
      <c r="E57" s="3">
        <f>IF(B57="","",IFERROR(INDEX('Acceptance Criteria'!$G:$G,MATCH(B57,'Acceptance Criteria'!$A:$A,0)),IFERROR(INDEX('Delivery Standards'!$C:$C,MATCH(B57,'Delivery Standards'!$A:$A,0)),"⚠ Unknown AC ID")))</f>
        <v/>
      </c>
      <c r="F57" s="3" t="inlineStr">
        <is>
          <t>Filter resets the page</t>
        </is>
      </c>
      <c r="G57" s="3" t="inlineStr">
        <is>
          <t>Edge</t>
        </is>
      </c>
      <c r="H57" s="3" t="inlineStr">
        <is>
          <t>Signed in as a technician (a row in ITH_UserRole with role Technician). The sample tickets from data-model.md exist.</t>
        </is>
      </c>
      <c r="I57" s="3" t="inlineStr">
        <is>
          <t>1. Go to page 2.
2. Change the Status filter.</t>
        </is>
      </c>
      <c r="J57" s="3" t="inlineStr">
        <is>
          <t>Page 1 is shown.</t>
        </is>
      </c>
      <c r="K57" s="3" t="n"/>
      <c r="L57" s="3" t="inlineStr">
        <is>
          <t>Not Run</t>
        </is>
      </c>
      <c r="M57" s="3" t="n"/>
      <c r="N57" s="3" t="n"/>
    </row>
    <row r="58">
      <c r="A58" s="3" t="inlineStr">
        <is>
          <t>TC-TKT-011</t>
        </is>
      </c>
      <c r="B58" s="3" t="inlineStr">
        <is>
          <t>AC-ITH-16</t>
        </is>
      </c>
      <c r="C58" s="3" t="n">
        <v>5</v>
      </c>
      <c r="D58" s="3">
        <f>IF(B58="","",IFERROR(INDEX('Acceptance Criteria'!$D:$D,MATCH(B58,'Acceptance Criteria'!$A:$A,0)),IFERROR(INDEX('Delivery Standards'!$B:$B,MATCH(B58,'Delivery Standards'!$A:$A,0)),"⚠ Unknown AC ID")))</f>
        <v/>
      </c>
      <c r="E58" s="3">
        <f>IF(B58="","",IFERROR(INDEX('Acceptance Criteria'!$G:$G,MATCH(B58,'Acceptance Criteria'!$A:$A,0)),IFERROR(INDEX('Delivery Standards'!$C:$C,MATCH(B58,'Delivery Standards'!$A:$A,0)),"⚠ Unknown AC ID")))</f>
        <v/>
      </c>
      <c r="F58" s="3" t="inlineStr">
        <is>
          <t>Clear filters</t>
        </is>
      </c>
      <c r="G58" s="3" t="inlineStr">
        <is>
          <t>Positive</t>
        </is>
      </c>
      <c r="H58" s="3" t="inlineStr">
        <is>
          <t>Signed in as a technician (a row in ITH_UserRole with role Technician). The sample tickets from data-model.md exist.</t>
        </is>
      </c>
      <c r="I58" s="3" t="inlineStr">
        <is>
          <t>1. Apply a search and three filters.
2. Select "Clear filters".</t>
        </is>
      </c>
      <c r="J58" s="3" t="inlineStr">
        <is>
          <t>The search, the three filters and the header search box are empty; page 1 shows.</t>
        </is>
      </c>
      <c r="K58" s="3" t="n"/>
      <c r="L58" s="3" t="inlineStr">
        <is>
          <t>Not Run</t>
        </is>
      </c>
      <c r="M58" s="3" t="n"/>
      <c r="N58" s="3" t="n"/>
    </row>
    <row r="59">
      <c r="A59" s="3" t="inlineStr">
        <is>
          <t>TC-TKT-012</t>
        </is>
      </c>
      <c r="B59" s="3" t="inlineStr">
        <is>
          <t>AC-ITH-16</t>
        </is>
      </c>
      <c r="C59" s="3" t="n">
        <v>6</v>
      </c>
      <c r="D59" s="3">
        <f>IF(B59="","",IFERROR(INDEX('Acceptance Criteria'!$D:$D,MATCH(B59,'Acceptance Criteria'!$A:$A,0)),IFERROR(INDEX('Delivery Standards'!$B:$B,MATCH(B59,'Delivery Standards'!$A:$A,0)),"⚠ Unknown AC ID")))</f>
        <v/>
      </c>
      <c r="E59" s="3">
        <f>IF(B59="","",IFERROR(INDEX('Acceptance Criteria'!$G:$G,MATCH(B59,'Acceptance Criteria'!$A:$A,0)),IFERROR(INDEX('Delivery Standards'!$C:$C,MATCH(B59,'Delivery Standards'!$A:$A,0)),"⚠ Unknown AC ID")))</f>
        <v/>
      </c>
      <c r="F59" s="3" t="inlineStr">
        <is>
          <t>Options come from the master lists</t>
        </is>
      </c>
      <c r="G59" s="3" t="inlineStr">
        <is>
          <t>Positive</t>
        </is>
      </c>
      <c r="H59" s="3" t="inlineStr">
        <is>
          <t>Signed in as an administrator (a row in ITH_UserRole with role Administrator).</t>
        </is>
      </c>
      <c r="I59" s="3" t="inlineStr">
        <is>
          <t>1. Add a category "Printing" to ITH_Category in SharePoint.
2. Reopen the app and open the Category filter.</t>
        </is>
      </c>
      <c r="J59" s="3" t="inlineStr">
        <is>
          <t>"Printing" is offered.</t>
        </is>
      </c>
      <c r="K59" s="3" t="n"/>
      <c r="L59" s="3" t="inlineStr">
        <is>
          <t>Not Run</t>
        </is>
      </c>
      <c r="M59" s="3" t="n"/>
      <c r="N59" s="3" t="n"/>
    </row>
    <row r="60">
      <c r="A60" s="3" t="inlineStr">
        <is>
          <t>TC-TKT-013</t>
        </is>
      </c>
      <c r="B60" s="3" t="inlineStr">
        <is>
          <t>AC-ITH-17</t>
        </is>
      </c>
      <c r="C60" s="3" t="n">
        <v>1</v>
      </c>
      <c r="D60" s="3">
        <f>IF(B60="","",IFERROR(INDEX('Acceptance Criteria'!$D:$D,MATCH(B60,'Acceptance Criteria'!$A:$A,0)),IFERROR(INDEX('Delivery Standards'!$B:$B,MATCH(B60,'Delivery Standards'!$A:$A,0)),"⚠ Unknown AC ID")))</f>
        <v/>
      </c>
      <c r="E60" s="3">
        <f>IF(B60="","",IFERROR(INDEX('Acceptance Criteria'!$G:$G,MATCH(B60,'Acceptance Criteria'!$A:$A,0)),IFERROR(INDEX('Delivery Standards'!$C:$C,MATCH(B60,'Delivery Standards'!$A:$A,0)),"⚠ Unknown AC ID")))</f>
        <v/>
      </c>
      <c r="F60" s="3" t="inlineStr">
        <is>
          <t>Sort by a column</t>
        </is>
      </c>
      <c r="G60" s="3" t="inlineStr">
        <is>
          <t>Positive</t>
        </is>
      </c>
      <c r="H60" s="3" t="inlineStr">
        <is>
          <t>Signed in as a technician (a row in ITH_UserRole with role Technician). The sample tickets from data-model.md exist.</t>
        </is>
      </c>
      <c r="I60" s="3" t="inlineStr">
        <is>
          <t>1. Select the "Subject" header.
2. Select it again.</t>
        </is>
      </c>
      <c r="J60" s="3" t="inlineStr">
        <is>
          <t>Ascending with ▲, then descending with ▼.</t>
        </is>
      </c>
      <c r="K60" s="3" t="n"/>
      <c r="L60" s="3" t="inlineStr">
        <is>
          <t>Not Run</t>
        </is>
      </c>
      <c r="M60" s="3" t="n"/>
      <c r="N60" s="3" t="n"/>
    </row>
    <row r="61">
      <c r="A61" s="3" t="inlineStr">
        <is>
          <t>TC-TKT-014</t>
        </is>
      </c>
      <c r="B61" s="3" t="inlineStr">
        <is>
          <t>AC-ITH-17</t>
        </is>
      </c>
      <c r="C61" s="3" t="n">
        <v>2</v>
      </c>
      <c r="D61" s="3">
        <f>IF(B61="","",IFERROR(INDEX('Acceptance Criteria'!$D:$D,MATCH(B61,'Acceptance Criteria'!$A:$A,0)),IFERROR(INDEX('Delivery Standards'!$B:$B,MATCH(B61,'Delivery Standards'!$A:$A,0)),"⚠ Unknown AC ID")))</f>
        <v/>
      </c>
      <c r="E61" s="3">
        <f>IF(B61="","",IFERROR(INDEX('Acceptance Criteria'!$G:$G,MATCH(B61,'Acceptance Criteria'!$A:$A,0)),IFERROR(INDEX('Delivery Standards'!$C:$C,MATCH(B61,'Delivery Standards'!$A:$A,0)),"⚠ Unknown AC ID")))</f>
        <v/>
      </c>
      <c r="F61" s="3" t="inlineStr">
        <is>
          <t>Priority sorts by level</t>
        </is>
      </c>
      <c r="G61" s="3" t="inlineStr">
        <is>
          <t>Edge</t>
        </is>
      </c>
      <c r="H61" s="3" t="inlineStr">
        <is>
          <t>Signed in as a technician (a row in ITH_UserRole with role Technician). The sample tickets from data-model.md exist.</t>
        </is>
      </c>
      <c r="I61" s="3" t="inlineStr">
        <is>
          <t>1. Sort by Priority ascending.</t>
        </is>
      </c>
      <c r="J61" s="3" t="inlineStr">
        <is>
          <t>Low, Medium, High, Critical, not alphabetical.</t>
        </is>
      </c>
      <c r="K61" s="3" t="n"/>
      <c r="L61" s="3" t="inlineStr">
        <is>
          <t>Not Run</t>
        </is>
      </c>
      <c r="M61" s="3" t="n"/>
      <c r="N61" s="3" t="n"/>
    </row>
    <row r="62">
      <c r="A62" s="3" t="inlineStr">
        <is>
          <t>TC-TKT-015</t>
        </is>
      </c>
      <c r="B62" s="3" t="inlineStr">
        <is>
          <t>AC-ITH-17</t>
        </is>
      </c>
      <c r="C62" s="3" t="n">
        <v>2</v>
      </c>
      <c r="D62" s="3">
        <f>IF(B62="","",IFERROR(INDEX('Acceptance Criteria'!$D:$D,MATCH(B62,'Acceptance Criteria'!$A:$A,0)),IFERROR(INDEX('Delivery Standards'!$B:$B,MATCH(B62,'Delivery Standards'!$A:$A,0)),"⚠ Unknown AC ID")))</f>
        <v/>
      </c>
      <c r="E62" s="3">
        <f>IF(B62="","",IFERROR(INDEX('Acceptance Criteria'!$G:$G,MATCH(B62,'Acceptance Criteria'!$A:$A,0)),IFERROR(INDEX('Delivery Standards'!$C:$C,MATCH(B62,'Delivery Standards'!$A:$A,0)),"⚠ Unknown AC ID")))</f>
        <v/>
      </c>
      <c r="F62" s="3" t="inlineStr">
        <is>
          <t>ID sorts as a number</t>
        </is>
      </c>
      <c r="G62" s="3" t="inlineStr">
        <is>
          <t>Edge</t>
        </is>
      </c>
      <c r="H62" s="3" t="inlineStr">
        <is>
          <t>Signed in as a technician (a row in ITH_UserRole with role Technician). The sample tickets from data-model.md exist. Tickets with IDs 9, 10 and 100.</t>
        </is>
      </c>
      <c r="I62" s="3" t="inlineStr">
        <is>
          <t>1. Sort by Ticket ID ascending.</t>
        </is>
      </c>
      <c r="J62" s="3" t="inlineStr">
        <is>
          <t>9, 10, 100.</t>
        </is>
      </c>
      <c r="K62" s="3" t="n"/>
      <c r="L62" s="3" t="inlineStr">
        <is>
          <t>Not Run</t>
        </is>
      </c>
      <c r="M62" s="3" t="n"/>
      <c r="N62" s="3" t="n"/>
    </row>
    <row r="63">
      <c r="A63" s="3" t="inlineStr">
        <is>
          <t>TC-TKT-016</t>
        </is>
      </c>
      <c r="B63" s="3" t="inlineStr">
        <is>
          <t>AC-ITH-17</t>
        </is>
      </c>
      <c r="C63" s="3" t="n">
        <v>3</v>
      </c>
      <c r="D63" s="3">
        <f>IF(B63="","",IFERROR(INDEX('Acceptance Criteria'!$D:$D,MATCH(B63,'Acceptance Criteria'!$A:$A,0)),IFERROR(INDEX('Delivery Standards'!$B:$B,MATCH(B63,'Delivery Standards'!$A:$A,0)),"⚠ Unknown AC ID")))</f>
        <v/>
      </c>
      <c r="E63" s="3">
        <f>IF(B63="","",IFERROR(INDEX('Acceptance Criteria'!$G:$G,MATCH(B63,'Acceptance Criteria'!$A:$A,0)),IFERROR(INDEX('Delivery Standards'!$C:$C,MATCH(B63,'Delivery Standards'!$A:$A,0)),"⚠ Unknown AC ID")))</f>
        <v/>
      </c>
      <c r="F63" s="3" t="inlineStr">
        <is>
          <t>Footer and page size</t>
        </is>
      </c>
      <c r="G63" s="3" t="inlineStr">
        <is>
          <t>Positive</t>
        </is>
      </c>
      <c r="H63" s="3" t="inlineStr">
        <is>
          <t>Signed in as a technician (a row in ITH_UserRole with role Technician). The sample tickets from data-model.md exist. 14 tickets.</t>
        </is>
      </c>
      <c r="I63" s="3" t="inlineStr">
        <is>
          <t>1. Read the footer with 10 rows a page.
2. Choose 5 and 25 rows.</t>
        </is>
      </c>
      <c r="J63" s="3" t="inlineStr">
        <is>
          <t>"1–10 of 14" and page "1 / 2"; with 5 rows "1 / 3"; with 25 rows one page. Default is 10.</t>
        </is>
      </c>
      <c r="K63" s="3" t="n"/>
      <c r="L63" s="3" t="inlineStr">
        <is>
          <t>Not Run</t>
        </is>
      </c>
      <c r="M63" s="3" t="n"/>
      <c r="N63" s="3" t="n"/>
    </row>
    <row r="64">
      <c r="A64" s="3" t="inlineStr">
        <is>
          <t>TC-TKT-017</t>
        </is>
      </c>
      <c r="B64" s="3" t="inlineStr">
        <is>
          <t>AC-ITH-17</t>
        </is>
      </c>
      <c r="C64" s="3" t="n">
        <v>4</v>
      </c>
      <c r="D64" s="3">
        <f>IF(B64="","",IFERROR(INDEX('Acceptance Criteria'!$D:$D,MATCH(B64,'Acceptance Criteria'!$A:$A,0)),IFERROR(INDEX('Delivery Standards'!$B:$B,MATCH(B64,'Delivery Standards'!$A:$A,0)),"⚠ Unknown AC ID")))</f>
        <v/>
      </c>
      <c r="E64" s="3">
        <f>IF(B64="","",IFERROR(INDEX('Acceptance Criteria'!$G:$G,MATCH(B64,'Acceptance Criteria'!$A:$A,0)),IFERROR(INDEX('Delivery Standards'!$C:$C,MATCH(B64,'Delivery Standards'!$A:$A,0)),"⚠ Unknown AC ID")))</f>
        <v/>
      </c>
      <c r="F64" s="3" t="inlineStr">
        <is>
          <t>Pager buttons at the ends</t>
        </is>
      </c>
      <c r="G64" s="3" t="inlineStr">
        <is>
          <t>Boundary</t>
        </is>
      </c>
      <c r="H64" s="3" t="inlineStr">
        <is>
          <t>Signed in as a technician (a row in ITH_UserRole with role Technician). The sample tickets from data-model.md exist.</t>
        </is>
      </c>
      <c r="I64" s="3" t="inlineStr">
        <is>
          <t>1. On page 1 look at "Previous page".
2. Go to the last page and look at "Next page".</t>
        </is>
      </c>
      <c r="J64" s="3" t="inlineStr">
        <is>
          <t>Previous is disabled on page 1; Next is disabled on the last page.</t>
        </is>
      </c>
      <c r="K64" s="3" t="n"/>
      <c r="L64" s="3" t="inlineStr">
        <is>
          <t>Not Run</t>
        </is>
      </c>
      <c r="M64" s="3" t="n"/>
      <c r="N64" s="3" t="n"/>
    </row>
    <row r="65">
      <c r="A65" s="3" t="inlineStr">
        <is>
          <t>TC-TKT-018</t>
        </is>
      </c>
      <c r="B65" s="3" t="inlineStr">
        <is>
          <t>AC-ITH-17</t>
        </is>
      </c>
      <c r="C65" s="3" t="n">
        <v>3</v>
      </c>
      <c r="D65" s="3">
        <f>IF(B65="","",IFERROR(INDEX('Acceptance Criteria'!$D:$D,MATCH(B65,'Acceptance Criteria'!$A:$A,0)),IFERROR(INDEX('Delivery Standards'!$B:$B,MATCH(B65,'Delivery Standards'!$A:$A,0)),"⚠ Unknown AC ID")))</f>
        <v/>
      </c>
      <c r="E65" s="3">
        <f>IF(B65="","",IFERROR(INDEX('Acceptance Criteria'!$G:$G,MATCH(B65,'Acceptance Criteria'!$A:$A,0)),IFERROR(INDEX('Delivery Standards'!$C:$C,MATCH(B65,'Delivery Standards'!$A:$A,0)),"⚠ Unknown AC ID")))</f>
        <v/>
      </c>
      <c r="F65" s="3" t="inlineStr">
        <is>
          <t>Last partial page</t>
        </is>
      </c>
      <c r="G65" s="3" t="inlineStr">
        <is>
          <t>Boundary</t>
        </is>
      </c>
      <c r="H65" s="3" t="inlineStr">
        <is>
          <t>Signed in as a technician (a row in ITH_UserRole with role Technician). The sample tickets from data-model.md exist. 14 tickets, 10 rows a page.</t>
        </is>
      </c>
      <c r="I65" s="3" t="inlineStr">
        <is>
          <t>1. Go to page 2.</t>
        </is>
      </c>
      <c r="J65" s="3" t="inlineStr">
        <is>
          <t>"11–14 of 14" and 4 rows.</t>
        </is>
      </c>
      <c r="K65" s="3" t="n"/>
      <c r="L65" s="3" t="inlineStr">
        <is>
          <t>Not Run</t>
        </is>
      </c>
      <c r="M65" s="3" t="n"/>
      <c r="N65" s="3" t="n"/>
    </row>
    <row r="66">
      <c r="A66" s="3" t="inlineStr">
        <is>
          <t>TC-TKT-019</t>
        </is>
      </c>
      <c r="B66" s="3" t="inlineStr">
        <is>
          <t>AC-ITH-18</t>
        </is>
      </c>
      <c r="C66" s="3" t="n">
        <v>1</v>
      </c>
      <c r="D66" s="3">
        <f>IF(B66="","",IFERROR(INDEX('Acceptance Criteria'!$D:$D,MATCH(B66,'Acceptance Criteria'!$A:$A,0)),IFERROR(INDEX('Delivery Standards'!$B:$B,MATCH(B66,'Delivery Standards'!$A:$A,0)),"⚠ Unknown AC ID")))</f>
        <v/>
      </c>
      <c r="E66" s="3">
        <f>IF(B66="","",IFERROR(INDEX('Acceptance Criteria'!$G:$G,MATCH(B66,'Acceptance Criteria'!$A:$A,0)),IFERROR(INDEX('Delivery Standards'!$C:$C,MATCH(B66,'Delivery Standards'!$A:$A,0)),"⚠ Unknown AC ID")))</f>
        <v/>
      </c>
      <c r="F66" s="3" t="inlineStr">
        <is>
          <t>No match</t>
        </is>
      </c>
      <c r="G66" s="3" t="inlineStr">
        <is>
          <t>Edge</t>
        </is>
      </c>
      <c r="H66" s="3" t="inlineStr">
        <is>
          <t>Signed in as a technician (a row in ITH_UserRole with role Technician). The sample tickets from data-model.md exist.</t>
        </is>
      </c>
      <c r="I66" s="3" t="inlineStr">
        <is>
          <t>1. Search for "zzzz".</t>
        </is>
      </c>
      <c r="J66" s="3" t="inlineStr">
        <is>
          <t>"No tickets match your filters", "Try a different search or clear the filters." and a "Clear filters" button.</t>
        </is>
      </c>
      <c r="K66" s="3" t="n"/>
      <c r="L66" s="3" t="inlineStr">
        <is>
          <t>Not Run</t>
        </is>
      </c>
      <c r="M66" s="3" t="n"/>
      <c r="N66" s="3" t="n"/>
    </row>
    <row r="67">
      <c r="A67" s="3" t="inlineStr">
        <is>
          <t>TC-TKT-020</t>
        </is>
      </c>
      <c r="B67" s="3" t="inlineStr">
        <is>
          <t>AC-ITH-18</t>
        </is>
      </c>
      <c r="C67" s="3" t="n">
        <v>2</v>
      </c>
      <c r="D67" s="3">
        <f>IF(B67="","",IFERROR(INDEX('Acceptance Criteria'!$D:$D,MATCH(B67,'Acceptance Criteria'!$A:$A,0)),IFERROR(INDEX('Delivery Standards'!$B:$B,MATCH(B67,'Delivery Standards'!$A:$A,0)),"⚠ Unknown AC ID")))</f>
        <v/>
      </c>
      <c r="E67" s="3">
        <f>IF(B67="","",IFERROR(INDEX('Acceptance Criteria'!$G:$G,MATCH(B67,'Acceptance Criteria'!$A:$A,0)),IFERROR(INDEX('Delivery Standards'!$C:$C,MATCH(B67,'Delivery Standards'!$A:$A,0)),"⚠ Unknown AC ID")))</f>
        <v/>
      </c>
      <c r="F67" s="3" t="inlineStr">
        <is>
          <t>No tickets</t>
        </is>
      </c>
      <c r="G67" s="3" t="inlineStr">
        <is>
          <t>Edge</t>
        </is>
      </c>
      <c r="H67" s="3" t="inlineStr">
        <is>
          <t>Signed in as a requester (a row in ITH_UserRole with role Requester, or no row). Tickets HD-1 and HD-2 were raised by this user, others by other people. This user has raised no tickets.</t>
        </is>
      </c>
      <c r="I67" s="3" t="inlineStr">
        <is>
          <t>1. Open All tickets.</t>
        </is>
      </c>
      <c r="J67" s="3" t="inlineStr">
        <is>
          <t>"No tickets here yet", "Create a ticket to get started." and a "Create ticket" button that opens the form.</t>
        </is>
      </c>
      <c r="K67" s="3" t="n"/>
      <c r="L67" s="3" t="inlineStr">
        <is>
          <t>Not Run</t>
        </is>
      </c>
      <c r="M67" s="3" t="n"/>
      <c r="N67" s="3" t="n"/>
    </row>
    <row r="68">
      <c r="A68" s="3" t="inlineStr">
        <is>
          <t>TC-TKT-021</t>
        </is>
      </c>
      <c r="B68" s="3" t="inlineStr">
        <is>
          <t>AC-ITH-18</t>
        </is>
      </c>
      <c r="C68" s="3" t="n">
        <v>3</v>
      </c>
      <c r="D68" s="3">
        <f>IF(B68="","",IFERROR(INDEX('Acceptance Criteria'!$D:$D,MATCH(B68,'Acceptance Criteria'!$A:$A,0)),IFERROR(INDEX('Delivery Standards'!$B:$B,MATCH(B68,'Delivery Standards'!$A:$A,0)),"⚠ Unknown AC ID")))</f>
        <v/>
      </c>
      <c r="E68" s="3">
        <f>IF(B68="","",IFERROR(INDEX('Acceptance Criteria'!$G:$G,MATCH(B68,'Acceptance Criteria'!$A:$A,0)),IFERROR(INDEX('Delivery Standards'!$C:$C,MATCH(B68,'Delivery Standards'!$A:$A,0)),"⚠ Unknown AC ID")))</f>
        <v/>
      </c>
      <c r="F68" s="3" t="inlineStr">
        <is>
          <t>Row edit button</t>
        </is>
      </c>
      <c r="G68" s="3" t="inlineStr">
        <is>
          <t>Positive</t>
        </is>
      </c>
      <c r="H68" s="3" t="inlineStr">
        <is>
          <t>Signed in as a technician (a row in ITH_UserRole with role Technician). The sample tickets from data-model.md exist.</t>
        </is>
      </c>
      <c r="I68" s="3" t="inlineStr">
        <is>
          <t>1. Select the Edit button on a row.</t>
        </is>
      </c>
      <c r="J68" s="3" t="inlineStr">
        <is>
          <t>The edit form opens for that ticket and the detail panel does not stay in the way.</t>
        </is>
      </c>
      <c r="K68" s="3" t="n"/>
      <c r="L68" s="3" t="inlineStr">
        <is>
          <t>Not Run</t>
        </is>
      </c>
      <c r="M68" s="3" t="n"/>
      <c r="N68" s="3" t="n"/>
    </row>
    <row r="69">
      <c r="A69" s="3" t="inlineStr">
        <is>
          <t>TC-TKT-022</t>
        </is>
      </c>
      <c r="B69" s="3" t="inlineStr">
        <is>
          <t>AC-ITH-18</t>
        </is>
      </c>
      <c r="C69" s="3" t="n">
        <v>5</v>
      </c>
      <c r="D69" s="3">
        <f>IF(B69="","",IFERROR(INDEX('Acceptance Criteria'!$D:$D,MATCH(B69,'Acceptance Criteria'!$A:$A,0)),IFERROR(INDEX('Delivery Standards'!$B:$B,MATCH(B69,'Delivery Standards'!$A:$A,0)),"⚠ Unknown AC ID")))</f>
        <v/>
      </c>
      <c r="E69" s="3">
        <f>IF(B69="","",IFERROR(INDEX('Acceptance Criteria'!$G:$G,MATCH(B69,'Acceptance Criteria'!$A:$A,0)),IFERROR(INDEX('Delivery Standards'!$C:$C,MATCH(B69,'Delivery Standards'!$A:$A,0)),"⚠ Unknown AC ID")))</f>
        <v/>
      </c>
      <c r="F69" s="3" t="inlineStr">
        <is>
          <t>Requester has no edit button</t>
        </is>
      </c>
      <c r="G69" s="3" t="inlineStr">
        <is>
          <t>Negative</t>
        </is>
      </c>
      <c r="H69" s="3" t="inlineStr">
        <is>
          <t>Signed in as a requester (a row in ITH_UserRole with role Requester, or no row). Tickets HD-1 and HD-2 were raised by this user, others by other people.</t>
        </is>
      </c>
      <c r="I69" s="3" t="inlineStr">
        <is>
          <t>1. Look at the Actions column.</t>
        </is>
      </c>
      <c r="J69" s="3" t="inlineStr">
        <is>
          <t>No Edit button is shown.</t>
        </is>
      </c>
      <c r="K69" s="3" t="n"/>
      <c r="L69" s="3" t="inlineStr">
        <is>
          <t>Not Run</t>
        </is>
      </c>
      <c r="M69" s="3" t="n"/>
      <c r="N69" s="3" t="n"/>
    </row>
    <row r="70">
      <c r="A70" s="3" t="inlineStr">
        <is>
          <t>TC-TKT-023</t>
        </is>
      </c>
      <c r="B70" s="3" t="inlineStr">
        <is>
          <t>AC-ITH-19</t>
        </is>
      </c>
      <c r="C70" s="3" t="n">
        <v>1</v>
      </c>
      <c r="D70" s="3">
        <f>IF(B70="","",IFERROR(INDEX('Acceptance Criteria'!$D:$D,MATCH(B70,'Acceptance Criteria'!$A:$A,0)),IFERROR(INDEX('Delivery Standards'!$B:$B,MATCH(B70,'Delivery Standards'!$A:$A,0)),"⚠ Unknown AC ID")))</f>
        <v/>
      </c>
      <c r="E70" s="3">
        <f>IF(B70="","",IFERROR(INDEX('Acceptance Criteria'!$G:$G,MATCH(B70,'Acceptance Criteria'!$A:$A,0)),IFERROR(INDEX('Delivery Standards'!$C:$C,MATCH(B70,'Delivery Standards'!$A:$A,0)),"⚠ Unknown AC ID")))</f>
        <v/>
      </c>
      <c r="F70" s="3" t="inlineStr">
        <is>
          <t>My tickets</t>
        </is>
      </c>
      <c r="G70" s="3" t="inlineStr">
        <is>
          <t>Positive</t>
        </is>
      </c>
      <c r="H70" s="3" t="inlineStr">
        <is>
          <t>Signed in as a technician (a row in ITH_UserRole with role Technician). The sample tickets from data-model.md exist.</t>
        </is>
      </c>
      <c r="I70" s="3" t="inlineStr">
        <is>
          <t>1. Open "My tickets".</t>
        </is>
      </c>
      <c r="J70" s="3" t="inlineStr">
        <is>
          <t>"Tickets you submitted as &lt;your name&gt;." and only tickets whose requester email is yours.</t>
        </is>
      </c>
      <c r="K70" s="3" t="n"/>
      <c r="L70" s="3" t="inlineStr">
        <is>
          <t>Not Run</t>
        </is>
      </c>
      <c r="M70" s="3" t="n"/>
      <c r="N70" s="3" t="n"/>
    </row>
    <row r="71">
      <c r="A71" s="3" t="inlineStr">
        <is>
          <t>TC-TKT-024</t>
        </is>
      </c>
      <c r="B71" s="3" t="inlineStr">
        <is>
          <t>AC-ITH-19</t>
        </is>
      </c>
      <c r="C71" s="3" t="n">
        <v>2</v>
      </c>
      <c r="D71" s="3">
        <f>IF(B71="","",IFERROR(INDEX('Acceptance Criteria'!$D:$D,MATCH(B71,'Acceptance Criteria'!$A:$A,0)),IFERROR(INDEX('Delivery Standards'!$B:$B,MATCH(B71,'Delivery Standards'!$A:$A,0)),"⚠ Unknown AC ID")))</f>
        <v/>
      </c>
      <c r="E71" s="3">
        <f>IF(B71="","",IFERROR(INDEX('Acceptance Criteria'!$G:$G,MATCH(B71,'Acceptance Criteria'!$A:$A,0)),IFERROR(INDEX('Delivery Standards'!$C:$C,MATCH(B71,'Delivery Standards'!$A:$A,0)),"⚠ Unknown AC ID")))</f>
        <v/>
      </c>
      <c r="F71" s="3" t="inlineStr">
        <is>
          <t>Assigned to me includes finished tickets</t>
        </is>
      </c>
      <c r="G71" s="3" t="inlineStr">
        <is>
          <t>Positive</t>
        </is>
      </c>
      <c r="H71" s="3" t="inlineStr">
        <is>
          <t>Signed in as a technician (a row in ITH_UserRole with role Technician). The sample tickets from data-model.md exist. One Resolved ticket assigned to Alex.</t>
        </is>
      </c>
      <c r="I71" s="3" t="inlineStr">
        <is>
          <t>1. Open "Assigned to me".</t>
        </is>
      </c>
      <c r="J71" s="3" t="inlineStr">
        <is>
          <t>"Tickets assigned to you." and every ticket assigned to you, including the Resolved one.</t>
        </is>
      </c>
      <c r="K71" s="3" t="n"/>
      <c r="L71" s="3" t="inlineStr">
        <is>
          <t>Not Run</t>
        </is>
      </c>
      <c r="M71" s="3" t="n"/>
      <c r="N71" s="3" t="n"/>
    </row>
    <row r="72">
      <c r="A72" s="3" t="inlineStr">
        <is>
          <t>TC-TKT-025</t>
        </is>
      </c>
      <c r="B72" s="3" t="inlineStr">
        <is>
          <t>AC-ITH-19</t>
        </is>
      </c>
      <c r="C72" s="3" t="n">
        <v>3</v>
      </c>
      <c r="D72" s="3">
        <f>IF(B72="","",IFERROR(INDEX('Acceptance Criteria'!$D:$D,MATCH(B72,'Acceptance Criteria'!$A:$A,0)),IFERROR(INDEX('Delivery Standards'!$B:$B,MATCH(B72,'Delivery Standards'!$A:$A,0)),"⚠ Unknown AC ID")))</f>
        <v/>
      </c>
      <c r="E72" s="3">
        <f>IF(B72="","",IFERROR(INDEX('Acceptance Criteria'!$G:$G,MATCH(B72,'Acceptance Criteria'!$A:$A,0)),IFERROR(INDEX('Delivery Standards'!$C:$C,MATCH(B72,'Delivery Standards'!$A:$A,0)),"⚠ Unknown AC ID")))</f>
        <v/>
      </c>
      <c r="F72" s="3" t="inlineStr">
        <is>
          <t>Same tools as All tickets</t>
        </is>
      </c>
      <c r="G72" s="3" t="inlineStr">
        <is>
          <t>Positive</t>
        </is>
      </c>
      <c r="H72" s="3" t="inlineStr">
        <is>
          <t>Signed in as a technician (a row in ITH_UserRole with role Technician). The sample tickets from data-model.md exist.</t>
        </is>
      </c>
      <c r="I72" s="3" t="inlineStr">
        <is>
          <t>1. On "My tickets" search, filter, sort and page.</t>
        </is>
      </c>
      <c r="J72" s="3" t="inlineStr">
        <is>
          <t>They work as on All tickets.</t>
        </is>
      </c>
      <c r="K72" s="3" t="n"/>
      <c r="L72" s="3" t="inlineStr">
        <is>
          <t>Not Run</t>
        </is>
      </c>
      <c r="M72" s="3" t="n"/>
      <c r="N72" s="3" t="n"/>
    </row>
    <row r="73">
      <c r="A73" s="3" t="inlineStr">
        <is>
          <t>TC-TKT-026</t>
        </is>
      </c>
      <c r="B73" s="3" t="inlineStr">
        <is>
          <t>AC-ITH-42</t>
        </is>
      </c>
      <c r="C73" s="3" t="n">
        <v>1</v>
      </c>
      <c r="D73" s="3">
        <f>IF(B73="","",IFERROR(INDEX('Acceptance Criteria'!$D:$D,MATCH(B73,'Acceptance Criteria'!$A:$A,0)),IFERROR(INDEX('Delivery Standards'!$B:$B,MATCH(B73,'Delivery Standards'!$A:$A,0)),"⚠ Unknown AC ID")))</f>
        <v/>
      </c>
      <c r="E73" s="3">
        <f>IF(B73="","",IFERROR(INDEX('Acceptance Criteria'!$G:$G,MATCH(B73,'Acceptance Criteria'!$A:$A,0)),IFERROR(INDEX('Delivery Standards'!$C:$C,MATCH(B73,'Delivery Standards'!$A:$A,0)),"⚠ Unknown AC ID")))</f>
        <v/>
      </c>
      <c r="F73" s="3" t="inlineStr">
        <is>
          <t>CSV export</t>
        </is>
      </c>
      <c r="G73" s="3" t="inlineStr">
        <is>
          <t>Positive</t>
        </is>
      </c>
      <c r="H73" s="3" t="inlineStr">
        <is>
          <t>Signed in as a technician (a row in ITH_UserRole with role Technician). The sample tickets from data-model.md exist.</t>
        </is>
      </c>
      <c r="I73" s="3" t="inlineStr">
        <is>
          <t>1. Select "Export CSV".
2. Open the file.</t>
        </is>
      </c>
      <c r="J73" s="3" t="inlineStr">
        <is>
          <t>A CSV with the columns Ticket ID, Subject, Requester, Category, Priority, Status, Assigned To, Created Date, Last Updated and one row per listed ticket.</t>
        </is>
      </c>
      <c r="K73" s="3" t="n"/>
      <c r="L73" s="3" t="inlineStr">
        <is>
          <t>Not Run</t>
        </is>
      </c>
      <c r="M73" s="3" t="inlineStr">
        <is>
          <t>Export is a spike (S-CSV).</t>
        </is>
      </c>
      <c r="N73" s="3" t="n"/>
    </row>
    <row r="74">
      <c r="A74" s="3" t="inlineStr">
        <is>
          <t>TC-TKT-027</t>
        </is>
      </c>
      <c r="B74" s="3" t="inlineStr">
        <is>
          <t>AC-ITH-42</t>
        </is>
      </c>
      <c r="C74" s="3" t="n">
        <v>1</v>
      </c>
      <c r="D74" s="3">
        <f>IF(B74="","",IFERROR(INDEX('Acceptance Criteria'!$D:$D,MATCH(B74,'Acceptance Criteria'!$A:$A,0)),IFERROR(INDEX('Delivery Standards'!$B:$B,MATCH(B74,'Delivery Standards'!$A:$A,0)),"⚠ Unknown AC ID")))</f>
        <v/>
      </c>
      <c r="E74" s="3">
        <f>IF(B74="","",IFERROR(INDEX('Acceptance Criteria'!$G:$G,MATCH(B74,'Acceptance Criteria'!$A:$A,0)),IFERROR(INDEX('Delivery Standards'!$C:$C,MATCH(B74,'Delivery Standards'!$A:$A,0)),"⚠ Unknown AC ID")))</f>
        <v/>
      </c>
      <c r="F74" s="3" t="inlineStr">
        <is>
          <t>Requester has no export</t>
        </is>
      </c>
      <c r="G74" s="3" t="inlineStr">
        <is>
          <t>Negative</t>
        </is>
      </c>
      <c r="H74" s="3" t="inlineStr">
        <is>
          <t>Signed in as a requester (a row in ITH_UserRole with role Requester, or no row). Tickets HD-1 and HD-2 were raised by this user, others by other people.</t>
        </is>
      </c>
      <c r="I74" s="3" t="inlineStr">
        <is>
          <t>1. Look for "Export CSV".</t>
        </is>
      </c>
      <c r="J74" s="3" t="inlineStr">
        <is>
          <t>It is not shown.</t>
        </is>
      </c>
      <c r="K74" s="3" t="n"/>
      <c r="L74" s="3" t="inlineStr">
        <is>
          <t>Not Run</t>
        </is>
      </c>
      <c r="M74" s="3" t="n"/>
      <c r="N74" s="3" t="n"/>
    </row>
    <row r="75">
      <c r="A75" s="3" t="inlineStr">
        <is>
          <t>TC-TKT-028</t>
        </is>
      </c>
      <c r="B75" s="3" t="inlineStr">
        <is>
          <t>AC-ITH-42</t>
        </is>
      </c>
      <c r="C75" s="3" t="n">
        <v>3</v>
      </c>
      <c r="D75" s="3">
        <f>IF(B75="","",IFERROR(INDEX('Acceptance Criteria'!$D:$D,MATCH(B75,'Acceptance Criteria'!$A:$A,0)),IFERROR(INDEX('Delivery Standards'!$B:$B,MATCH(B75,'Delivery Standards'!$A:$A,0)),"⚠ Unknown AC ID")))</f>
        <v/>
      </c>
      <c r="E75" s="3">
        <f>IF(B75="","",IFERROR(INDEX('Acceptance Criteria'!$G:$G,MATCH(B75,'Acceptance Criteria'!$A:$A,0)),IFERROR(INDEX('Delivery Standards'!$C:$C,MATCH(B75,'Delivery Standards'!$A:$A,0)),"⚠ Unknown AC ID")))</f>
        <v/>
      </c>
      <c r="F75" s="3" t="inlineStr">
        <is>
          <t>Export follows the filters</t>
        </is>
      </c>
      <c r="G75" s="3" t="inlineStr">
        <is>
          <t>Edge</t>
        </is>
      </c>
      <c r="H75" s="3" t="inlineStr">
        <is>
          <t>Signed in as a technician (a row in ITH_UserRole with role Technician). The sample tickets from data-model.md exist.</t>
        </is>
      </c>
      <c r="I75" s="3" t="inlineStr">
        <is>
          <t>1. Filter to Status Open.
2. Export.</t>
        </is>
      </c>
      <c r="J75" s="3" t="inlineStr">
        <is>
          <t>Only Open tickets are in the file.</t>
        </is>
      </c>
      <c r="K75" s="3" t="n"/>
      <c r="L75" s="3" t="inlineStr">
        <is>
          <t>Not Run</t>
        </is>
      </c>
      <c r="M75" s="3" t="n"/>
      <c r="N75" s="3" t="n"/>
    </row>
    <row r="76">
      <c r="A76" s="3" t="inlineStr">
        <is>
          <t>TC-FRM-001</t>
        </is>
      </c>
      <c r="B76" s="3" t="inlineStr">
        <is>
          <t>AC-ITH-20</t>
        </is>
      </c>
      <c r="C76" s="3" t="n">
        <v>1</v>
      </c>
      <c r="D76" s="3">
        <f>IF(B76="","",IFERROR(INDEX('Acceptance Criteria'!$D:$D,MATCH(B76,'Acceptance Criteria'!$A:$A,0)),IFERROR(INDEX('Delivery Standards'!$B:$B,MATCH(B76,'Delivery Standards'!$A:$A,0)),"⚠ Unknown AC ID")))</f>
        <v/>
      </c>
      <c r="E76" s="3">
        <f>IF(B76="","",IFERROR(INDEX('Acceptance Criteria'!$G:$G,MATCH(B76,'Acceptance Criteria'!$A:$A,0)),IFERROR(INDEX('Delivery Standards'!$C:$C,MATCH(B76,'Delivery Standards'!$A:$A,0)),"⚠ Unknown AC ID")))</f>
        <v/>
      </c>
      <c r="F76" s="3" t="inlineStr">
        <is>
          <t>Form opens from each place</t>
        </is>
      </c>
      <c r="G76" s="3" t="inlineStr">
        <is>
          <t>Positive</t>
        </is>
      </c>
      <c r="H76" s="3" t="inlineStr">
        <is>
          <t>Signed in as a technician (a row in ITH_UserRole with role Technician). The sample tickets from data-model.md exist.</t>
        </is>
      </c>
      <c r="I76" s="3" t="inlineStr">
        <is>
          <t>1. Open the form from the header, an empty list, a knowledge base article and a row's Edit button.</t>
        </is>
      </c>
      <c r="J76" s="3" t="inlineStr">
        <is>
          <t>It opens each time, titled "Create ticket" or "Edit &lt;ID&gt;".</t>
        </is>
      </c>
      <c r="K76" s="3" t="n"/>
      <c r="L76" s="3" t="inlineStr">
        <is>
          <t>Not Run</t>
        </is>
      </c>
      <c r="M76" s="3" t="n"/>
      <c r="N76" s="3" t="n"/>
    </row>
    <row r="77">
      <c r="A77" s="3" t="inlineStr">
        <is>
          <t>TC-FRM-002</t>
        </is>
      </c>
      <c r="B77" s="3" t="inlineStr">
        <is>
          <t>AC-ITH-20</t>
        </is>
      </c>
      <c r="C77" s="3" t="n">
        <v>2</v>
      </c>
      <c r="D77" s="3">
        <f>IF(B77="","",IFERROR(INDEX('Acceptance Criteria'!$D:$D,MATCH(B77,'Acceptance Criteria'!$A:$A,0)),IFERROR(INDEX('Delivery Standards'!$B:$B,MATCH(B77,'Delivery Standards'!$A:$A,0)),"⚠ Unknown AC ID")))</f>
        <v/>
      </c>
      <c r="E77" s="3">
        <f>IF(B77="","",IFERROR(INDEX('Acceptance Criteria'!$G:$G,MATCH(B77,'Acceptance Criteria'!$A:$A,0)),IFERROR(INDEX('Delivery Standards'!$C:$C,MATCH(B77,'Delivery Standards'!$A:$A,0)),"⚠ Unknown AC ID")))</f>
        <v/>
      </c>
      <c r="F77" s="3" t="inlineStr">
        <is>
          <t>Fields and wording</t>
        </is>
      </c>
      <c r="G77" s="3" t="inlineStr">
        <is>
          <t>Positive</t>
        </is>
      </c>
      <c r="H77" s="3" t="inlineStr">
        <is>
          <t>Signed in as a technician (a row in ITH_UserRole with role Technician). The sample tickets from data-model.md exist.</t>
        </is>
      </c>
      <c r="I77" s="3" t="inlineStr">
        <is>
          <t>1. Open "Create ticket".
2. Read the labels and placeholders.</t>
        </is>
      </c>
      <c r="J77" s="3" t="inlineStr">
        <is>
          <t>"Ticket subject *" (Short summary of the issue), "Description *" (What happened, and what did you expect?), Category, Priority, Requester name, Requester email, "Assign to (optional)".</t>
        </is>
      </c>
      <c r="K77" s="3" t="n"/>
      <c r="L77" s="3" t="inlineStr">
        <is>
          <t>Not Run</t>
        </is>
      </c>
      <c r="M77" s="3" t="n"/>
      <c r="N77" s="3" t="n"/>
    </row>
    <row r="78">
      <c r="A78" s="3" t="inlineStr">
        <is>
          <t>TC-FRM-003</t>
        </is>
      </c>
      <c r="B78" s="3" t="inlineStr">
        <is>
          <t>AC-ITH-20</t>
        </is>
      </c>
      <c r="C78" s="3" t="n">
        <v>3</v>
      </c>
      <c r="D78" s="3">
        <f>IF(B78="","",IFERROR(INDEX('Acceptance Criteria'!$D:$D,MATCH(B78,'Acceptance Criteria'!$A:$A,0)),IFERROR(INDEX('Delivery Standards'!$B:$B,MATCH(B78,'Delivery Standards'!$A:$A,0)),"⚠ Unknown AC ID")))</f>
        <v/>
      </c>
      <c r="E78" s="3">
        <f>IF(B78="","",IFERROR(INDEX('Acceptance Criteria'!$G:$G,MATCH(B78,'Acceptance Criteria'!$A:$A,0)),IFERROR(INDEX('Delivery Standards'!$C:$C,MATCH(B78,'Delivery Standards'!$A:$A,0)),"⚠ Unknown AC ID")))</f>
        <v/>
      </c>
      <c r="F78" s="3" t="inlineStr">
        <is>
          <t>Defaults</t>
        </is>
      </c>
      <c r="G78" s="3" t="inlineStr">
        <is>
          <t>Positive</t>
        </is>
      </c>
      <c r="H78" s="3" t="inlineStr">
        <is>
          <t>Signed in as a technician (a row in ITH_UserRole with role Technician). The sample tickets from data-model.md exist.</t>
        </is>
      </c>
      <c r="I78" s="3" t="inlineStr">
        <is>
          <t>1. Open "Create ticket".</t>
        </is>
      </c>
      <c r="J78" s="3" t="inlineStr">
        <is>
          <t>Category is Software and Priority is Medium.</t>
        </is>
      </c>
      <c r="K78" s="3" t="n"/>
      <c r="L78" s="3" t="inlineStr">
        <is>
          <t>Not Run</t>
        </is>
      </c>
      <c r="M78" s="3" t="n"/>
      <c r="N78" s="3" t="n"/>
    </row>
    <row r="79">
      <c r="A79" s="3" t="inlineStr">
        <is>
          <t>TC-FRM-004</t>
        </is>
      </c>
      <c r="B79" s="3" t="inlineStr">
        <is>
          <t>AC-ITH-20</t>
        </is>
      </c>
      <c r="C79" s="3" t="n">
        <v>4</v>
      </c>
      <c r="D79" s="3">
        <f>IF(B79="","",IFERROR(INDEX('Acceptance Criteria'!$D:$D,MATCH(B79,'Acceptance Criteria'!$A:$A,0)),IFERROR(INDEX('Delivery Standards'!$B:$B,MATCH(B79,'Delivery Standards'!$A:$A,0)),"⚠ Unknown AC ID")))</f>
        <v/>
      </c>
      <c r="E79" s="3">
        <f>IF(B79="","",IFERROR(INDEX('Acceptance Criteria'!$G:$G,MATCH(B79,'Acceptance Criteria'!$A:$A,0)),IFERROR(INDEX('Delivery Standards'!$C:$C,MATCH(B79,'Delivery Standards'!$A:$A,0)),"⚠ Unknown AC ID")))</f>
        <v/>
      </c>
      <c r="F79" s="3" t="inlineStr">
        <is>
          <t>Requester defaults to the user</t>
        </is>
      </c>
      <c r="G79" s="3" t="inlineStr">
        <is>
          <t>Positive</t>
        </is>
      </c>
      <c r="H79" s="3" t="inlineStr">
        <is>
          <t>Signed in as a technician (a row in ITH_UserRole with role Technician). The sample tickets from data-model.md exist.</t>
        </is>
      </c>
      <c r="I79" s="3" t="inlineStr">
        <is>
          <t>1. Open "Create ticket".</t>
        </is>
      </c>
      <c r="J79" s="3" t="inlineStr">
        <is>
          <t>Name and email are the signed-in user's.</t>
        </is>
      </c>
      <c r="K79" s="3" t="n"/>
      <c r="L79" s="3" t="inlineStr">
        <is>
          <t>Not Run</t>
        </is>
      </c>
      <c r="M79" s="3" t="n"/>
      <c r="N79" s="3" t="n"/>
    </row>
    <row r="80">
      <c r="A80" s="3" t="inlineStr">
        <is>
          <t>TC-FRM-005</t>
        </is>
      </c>
      <c r="B80" s="3" t="inlineStr">
        <is>
          <t>AC-ITH-20</t>
        </is>
      </c>
      <c r="C80" s="3" t="n">
        <v>4</v>
      </c>
      <c r="D80" s="3">
        <f>IF(B80="","",IFERROR(INDEX('Acceptance Criteria'!$D:$D,MATCH(B80,'Acceptance Criteria'!$A:$A,0)),IFERROR(INDEX('Delivery Standards'!$B:$B,MATCH(B80,'Delivery Standards'!$A:$A,0)),"⚠ Unknown AC ID")))</f>
        <v/>
      </c>
      <c r="E80" s="3">
        <f>IF(B80="","",IFERROR(INDEX('Acceptance Criteria'!$G:$G,MATCH(B80,'Acceptance Criteria'!$A:$A,0)),IFERROR(INDEX('Delivery Standards'!$C:$C,MATCH(B80,'Delivery Standards'!$A:$A,0)),"⚠ Unknown AC ID")))</f>
        <v/>
      </c>
      <c r="F80" s="3" t="inlineStr">
        <is>
          <t>Requester cannot change the requester</t>
        </is>
      </c>
      <c r="G80" s="3" t="inlineStr">
        <is>
          <t>Negative</t>
        </is>
      </c>
      <c r="H80" s="3" t="inlineStr">
        <is>
          <t>Signed in as a requester (a row in ITH_UserRole with role Requester, or no row). Tickets HD-1 and HD-2 were raised by this user, others by other people.</t>
        </is>
      </c>
      <c r="I80" s="3" t="inlineStr">
        <is>
          <t>1. Open "Create ticket".
2. Try to type in Requester name.</t>
        </is>
      </c>
      <c r="J80" s="3" t="inlineStr">
        <is>
          <t>The two requester fields cannot be edited.</t>
        </is>
      </c>
      <c r="K80" s="3" t="n"/>
      <c r="L80" s="3" t="inlineStr">
        <is>
          <t>Not Run</t>
        </is>
      </c>
      <c r="M80" s="3" t="n"/>
      <c r="N80" s="3" t="n"/>
    </row>
    <row r="81">
      <c r="A81" s="3" t="inlineStr">
        <is>
          <t>TC-FRM-006</t>
        </is>
      </c>
      <c r="B81" s="3" t="inlineStr">
        <is>
          <t>AC-ITH-20</t>
        </is>
      </c>
      <c r="C81" s="3" t="n">
        <v>5</v>
      </c>
      <c r="D81" s="3">
        <f>IF(B81="","",IFERROR(INDEX('Acceptance Criteria'!$D:$D,MATCH(B81,'Acceptance Criteria'!$A:$A,0)),IFERROR(INDEX('Delivery Standards'!$B:$B,MATCH(B81,'Delivery Standards'!$A:$A,0)),"⚠ Unknown AC ID")))</f>
        <v/>
      </c>
      <c r="E81" s="3">
        <f>IF(B81="","",IFERROR(INDEX('Acceptance Criteria'!$G:$G,MATCH(B81,'Acceptance Criteria'!$A:$A,0)),IFERROR(INDEX('Delivery Standards'!$C:$C,MATCH(B81,'Delivery Standards'!$A:$A,0)),"⚠ Unknown AC ID")))</f>
        <v/>
      </c>
      <c r="F81" s="3" t="inlineStr">
        <is>
          <t>Assignee choices</t>
        </is>
      </c>
      <c r="G81" s="3" t="inlineStr">
        <is>
          <t>Positive</t>
        </is>
      </c>
      <c r="H81" s="3" t="inlineStr">
        <is>
          <t>Signed in as a technician (a row in ITH_UserRole with role Technician). The sample tickets from data-model.md exist.</t>
        </is>
      </c>
      <c r="I81" s="3" t="inlineStr">
        <is>
          <t>1. Open the "Assign to (optional)" list.</t>
        </is>
      </c>
      <c r="J81" s="3" t="inlineStr">
        <is>
          <t>"Unassigned" first (the default), then the active technicians in ITH_Technician order.</t>
        </is>
      </c>
      <c r="K81" s="3" t="n"/>
      <c r="L81" s="3" t="inlineStr">
        <is>
          <t>Not Run</t>
        </is>
      </c>
      <c r="M81" s="3" t="n"/>
      <c r="N81" s="3" t="n"/>
    </row>
    <row r="82">
      <c r="A82" s="3" t="inlineStr">
        <is>
          <t>TC-FRM-007</t>
        </is>
      </c>
      <c r="B82" s="3" t="inlineStr">
        <is>
          <t>AC-ITH-20</t>
        </is>
      </c>
      <c r="C82" s="3" t="n">
        <v>6</v>
      </c>
      <c r="D82" s="3">
        <f>IF(B82="","",IFERROR(INDEX('Acceptance Criteria'!$D:$D,MATCH(B82,'Acceptance Criteria'!$A:$A,0)),IFERROR(INDEX('Delivery Standards'!$B:$B,MATCH(B82,'Delivery Standards'!$A:$A,0)),"⚠ Unknown AC ID")))</f>
        <v/>
      </c>
      <c r="E82" s="3">
        <f>IF(B82="","",IFERROR(INDEX('Acceptance Criteria'!$G:$G,MATCH(B82,'Acceptance Criteria'!$A:$A,0)),IFERROR(INDEX('Delivery Standards'!$C:$C,MATCH(B82,'Delivery Standards'!$A:$A,0)),"⚠ Unknown AC ID")))</f>
        <v/>
      </c>
      <c r="F82" s="3" t="inlineStr">
        <is>
          <t>Ways to close without saving</t>
        </is>
      </c>
      <c r="G82" s="3" t="inlineStr">
        <is>
          <t>Positive</t>
        </is>
      </c>
      <c r="H82" s="3" t="inlineStr">
        <is>
          <t>Signed in as a technician (a row in ITH_UserRole with role Technician). The sample tickets from data-model.md exist.</t>
        </is>
      </c>
      <c r="I82" s="3" t="inlineStr">
        <is>
          <t>1. Open the form and type a subject.
2. Close it with Cancel, with the close button and by selecting outside it.</t>
        </is>
      </c>
      <c r="J82" s="3" t="inlineStr">
        <is>
          <t>Each closes the form and no ticket is created.</t>
        </is>
      </c>
      <c r="K82" s="3" t="n"/>
      <c r="L82" s="3" t="inlineStr">
        <is>
          <t>Not Run</t>
        </is>
      </c>
      <c r="M82" s="3" t="n"/>
      <c r="N82" s="3" t="n"/>
    </row>
    <row r="83">
      <c r="A83" s="3" t="inlineStr">
        <is>
          <t>TC-FRM-008</t>
        </is>
      </c>
      <c r="B83" s="3" t="inlineStr">
        <is>
          <t>AC-ITH-20</t>
        </is>
      </c>
      <c r="C83" s="3" t="n">
        <v>7</v>
      </c>
      <c r="D83" s="3">
        <f>IF(B83="","",IFERROR(INDEX('Acceptance Criteria'!$D:$D,MATCH(B83,'Acceptance Criteria'!$A:$A,0)),IFERROR(INDEX('Delivery Standards'!$B:$B,MATCH(B83,'Delivery Standards'!$A:$A,0)),"⚠ Unknown AC ID")))</f>
        <v/>
      </c>
      <c r="E83" s="3">
        <f>IF(B83="","",IFERROR(INDEX('Acceptance Criteria'!$G:$G,MATCH(B83,'Acceptance Criteria'!$A:$A,0)),IFERROR(INDEX('Delivery Standards'!$C:$C,MATCH(B83,'Delivery Standards'!$A:$A,0)),"⚠ Unknown AC ID")))</f>
        <v/>
      </c>
      <c r="F83" s="3" t="inlineStr">
        <is>
          <t>Focus in the subject</t>
        </is>
      </c>
      <c r="G83" s="3" t="inlineStr">
        <is>
          <t>Accessibility</t>
        </is>
      </c>
      <c r="H83" s="3" t="inlineStr">
        <is>
          <t>Signed in as a technician (a row in ITH_UserRole with role Technician). The sample tickets from data-model.md exist.</t>
        </is>
      </c>
      <c r="I83" s="3" t="inlineStr">
        <is>
          <t>1. Open the form.</t>
        </is>
      </c>
      <c r="J83" s="3" t="inlineStr">
        <is>
          <t>The cursor is in the subject field.</t>
        </is>
      </c>
      <c r="K83" s="3" t="n"/>
      <c r="L83" s="3" t="inlineStr">
        <is>
          <t>Not Run</t>
        </is>
      </c>
      <c r="M83" s="3" t="n"/>
      <c r="N83" s="3" t="n"/>
    </row>
    <row r="84">
      <c r="A84" s="3" t="inlineStr">
        <is>
          <t>TC-FRM-009</t>
        </is>
      </c>
      <c r="B84" s="3" t="inlineStr">
        <is>
          <t>AC-ITH-21</t>
        </is>
      </c>
      <c r="C84" s="3" t="n">
        <v>1</v>
      </c>
      <c r="D84" s="3">
        <f>IF(B84="","",IFERROR(INDEX('Acceptance Criteria'!$D:$D,MATCH(B84,'Acceptance Criteria'!$A:$A,0)),IFERROR(INDEX('Delivery Standards'!$B:$B,MATCH(B84,'Delivery Standards'!$A:$A,0)),"⚠ Unknown AC ID")))</f>
        <v/>
      </c>
      <c r="E84" s="3">
        <f>IF(B84="","",IFERROR(INDEX('Acceptance Criteria'!$G:$G,MATCH(B84,'Acceptance Criteria'!$A:$A,0)),IFERROR(INDEX('Delivery Standards'!$C:$C,MATCH(B84,'Delivery Standards'!$A:$A,0)),"⚠ Unknown AC ID")))</f>
        <v/>
      </c>
      <c r="F84" s="3" t="inlineStr">
        <is>
          <t>New ticket ID</t>
        </is>
      </c>
      <c r="G84" s="3" t="inlineStr">
        <is>
          <t>Positive</t>
        </is>
      </c>
      <c r="H84" s="3" t="inlineStr">
        <is>
          <t>Signed in as a technician (a row in ITH_UserRole with role Technician). The sample tickets from data-model.md exist.</t>
        </is>
      </c>
      <c r="I84" s="3" t="inlineStr">
        <is>
          <t>1. Create a ticket.</t>
        </is>
      </c>
      <c r="J84" s="3" t="inlineStr">
        <is>
          <t>It gets an ID of the form HD-&lt;number&gt;, shown on the confirmation and in the list.</t>
        </is>
      </c>
      <c r="K84" s="3" t="n"/>
      <c r="L84" s="3" t="inlineStr">
        <is>
          <t>Not Run</t>
        </is>
      </c>
      <c r="M84" s="3" t="n"/>
      <c r="N84" s="3" t="n"/>
    </row>
    <row r="85">
      <c r="A85" s="3" t="inlineStr">
        <is>
          <t>TC-FRM-010</t>
        </is>
      </c>
      <c r="B85" s="3" t="inlineStr">
        <is>
          <t>AC-ITH-21</t>
        </is>
      </c>
      <c r="C85" s="3" t="n">
        <v>2</v>
      </c>
      <c r="D85" s="3">
        <f>IF(B85="","",IFERROR(INDEX('Acceptance Criteria'!$D:$D,MATCH(B85,'Acceptance Criteria'!$A:$A,0)),IFERROR(INDEX('Delivery Standards'!$B:$B,MATCH(B85,'Delivery Standards'!$A:$A,0)),"⚠ Unknown AC ID")))</f>
        <v/>
      </c>
      <c r="E85" s="3">
        <f>IF(B85="","",IFERROR(INDEX('Acceptance Criteria'!$G:$G,MATCH(B85,'Acceptance Criteria'!$A:$A,0)),IFERROR(INDEX('Delivery Standards'!$C:$C,MATCH(B85,'Delivery Standards'!$A:$A,0)),"⚠ Unknown AC ID")))</f>
        <v/>
      </c>
      <c r="F85" s="3" t="inlineStr">
        <is>
          <t>IDs never repeat</t>
        </is>
      </c>
      <c r="G85" s="3" t="inlineStr">
        <is>
          <t>Edge</t>
        </is>
      </c>
      <c r="H85" s="3" t="inlineStr">
        <is>
          <t>Signed in as a technician (a row in ITH_UserRole with role Technician). The sample tickets from data-model.md exist.</t>
        </is>
      </c>
      <c r="I85" s="3" t="inlineStr">
        <is>
          <t>1. Two testers select Create ticket at the same moment.</t>
        </is>
      </c>
      <c r="J85" s="3" t="inlineStr">
        <is>
          <t>Two tickets with different IDs exist.</t>
        </is>
      </c>
      <c r="K85" s="3" t="n"/>
      <c r="L85" s="3" t="inlineStr">
        <is>
          <t>Not Run</t>
        </is>
      </c>
      <c r="M85" s="3" t="n"/>
      <c r="N85" s="3" t="n"/>
    </row>
    <row r="86">
      <c r="A86" s="3" t="inlineStr">
        <is>
          <t>TC-FRM-011</t>
        </is>
      </c>
      <c r="B86" s="3" t="inlineStr">
        <is>
          <t>AC-ITH-21</t>
        </is>
      </c>
      <c r="C86" s="3" t="n">
        <v>3</v>
      </c>
      <c r="D86" s="3">
        <f>IF(B86="","",IFERROR(INDEX('Acceptance Criteria'!$D:$D,MATCH(B86,'Acceptance Criteria'!$A:$A,0)),IFERROR(INDEX('Delivery Standards'!$B:$B,MATCH(B86,'Delivery Standards'!$A:$A,0)),"⚠ Unknown AC ID")))</f>
        <v/>
      </c>
      <c r="E86" s="3">
        <f>IF(B86="","",IFERROR(INDEX('Acceptance Criteria'!$G:$G,MATCH(B86,'Acceptance Criteria'!$A:$A,0)),IFERROR(INDEX('Delivery Standards'!$C:$C,MATCH(B86,'Delivery Standards'!$A:$A,0)),"⚠ Unknown AC ID")))</f>
        <v/>
      </c>
      <c r="F86" s="3" t="inlineStr">
        <is>
          <t>Status and times</t>
        </is>
      </c>
      <c r="G86" s="3" t="inlineStr">
        <is>
          <t>Positive</t>
        </is>
      </c>
      <c r="H86" s="3" t="inlineStr">
        <is>
          <t>Signed in as a technician (a row in ITH_UserRole with role Technician). The sample tickets from data-model.md exist.</t>
        </is>
      </c>
      <c r="I86" s="3" t="inlineStr">
        <is>
          <t>1. Create a ticket.</t>
        </is>
      </c>
      <c r="J86" s="3" t="inlineStr">
        <is>
          <t>Status Open; created and last updated times are the time of saving.</t>
        </is>
      </c>
      <c r="K86" s="3" t="n"/>
      <c r="L86" s="3" t="inlineStr">
        <is>
          <t>Not Run</t>
        </is>
      </c>
      <c r="M86" s="3" t="n"/>
      <c r="N86" s="3" t="n"/>
    </row>
    <row r="87">
      <c r="A87" s="3" t="inlineStr">
        <is>
          <t>TC-FRM-012</t>
        </is>
      </c>
      <c r="B87" s="3" t="inlineStr">
        <is>
          <t>AC-ITH-21</t>
        </is>
      </c>
      <c r="C87" s="3" t="n">
        <v>4</v>
      </c>
      <c r="D87" s="3">
        <f>IF(B87="","",IFERROR(INDEX('Acceptance Criteria'!$D:$D,MATCH(B87,'Acceptance Criteria'!$A:$A,0)),IFERROR(INDEX('Delivery Standards'!$B:$B,MATCH(B87,'Delivery Standards'!$A:$A,0)),"⚠ Unknown AC ID")))</f>
        <v/>
      </c>
      <c r="E87" s="3">
        <f>IF(B87="","",IFERROR(INDEX('Acceptance Criteria'!$G:$G,MATCH(B87,'Acceptance Criteria'!$A:$A,0)),IFERROR(INDEX('Delivery Standards'!$C:$C,MATCH(B87,'Delivery Standards'!$A:$A,0)),"⚠ Unknown AC ID")))</f>
        <v/>
      </c>
      <c r="F87" s="3" t="inlineStr">
        <is>
          <t>Unassigned by default</t>
        </is>
      </c>
      <c r="G87" s="3" t="inlineStr">
        <is>
          <t>Positive</t>
        </is>
      </c>
      <c r="H87" s="3" t="inlineStr">
        <is>
          <t>Signed in as a technician (a row in ITH_UserRole with role Technician). The sample tickets from data-model.md exist.</t>
        </is>
      </c>
      <c r="I87" s="3" t="inlineStr">
        <is>
          <t>1. Create a ticket leaving "Assign to" as Unassigned.</t>
        </is>
      </c>
      <c r="J87" s="3" t="inlineStr">
        <is>
          <t>The ticket shows "Unassigned".</t>
        </is>
      </c>
      <c r="K87" s="3" t="n"/>
      <c r="L87" s="3" t="inlineStr">
        <is>
          <t>Not Run</t>
        </is>
      </c>
      <c r="M87" s="3" t="n"/>
      <c r="N87" s="3" t="n"/>
    </row>
    <row r="88">
      <c r="A88" s="3" t="inlineStr">
        <is>
          <t>TC-FRM-013</t>
        </is>
      </c>
      <c r="B88" s="3" t="inlineStr">
        <is>
          <t>AC-ITH-21</t>
        </is>
      </c>
      <c r="C88" s="3" t="n">
        <v>5</v>
      </c>
      <c r="D88" s="3">
        <f>IF(B88="","",IFERROR(INDEX('Acceptance Criteria'!$D:$D,MATCH(B88,'Acceptance Criteria'!$A:$A,0)),IFERROR(INDEX('Delivery Standards'!$B:$B,MATCH(B88,'Delivery Standards'!$A:$A,0)),"⚠ Unknown AC ID")))</f>
        <v/>
      </c>
      <c r="E88" s="3">
        <f>IF(B88="","",IFERROR(INDEX('Acceptance Criteria'!$G:$G,MATCH(B88,'Acceptance Criteria'!$A:$A,0)),IFERROR(INDEX('Delivery Standards'!$C:$C,MATCH(B88,'Delivery Standards'!$A:$A,0)),"⚠ Unknown AC ID")))</f>
        <v/>
      </c>
      <c r="F88" s="3" t="inlineStr">
        <is>
          <t>Confirmation</t>
        </is>
      </c>
      <c r="G88" s="3" t="inlineStr">
        <is>
          <t>Positive</t>
        </is>
      </c>
      <c r="H88" s="3" t="inlineStr">
        <is>
          <t>Signed in as a technician (a row in ITH_UserRole with role Technician). The sample tickets from data-model.md exist.</t>
        </is>
      </c>
      <c r="I88" s="3" t="inlineStr">
        <is>
          <t>1. Create a ticket.</t>
        </is>
      </c>
      <c r="J88" s="3" t="inlineStr">
        <is>
          <t>The form closes, the list refreshes and a message reads "&lt;ticket ID&gt; created".</t>
        </is>
      </c>
      <c r="K88" s="3" t="n"/>
      <c r="L88" s="3" t="inlineStr">
        <is>
          <t>Not Run</t>
        </is>
      </c>
      <c r="M88" s="3" t="n"/>
      <c r="N88" s="3" t="n"/>
    </row>
    <row r="89">
      <c r="A89" s="3" t="inlineStr">
        <is>
          <t>TC-FRM-014</t>
        </is>
      </c>
      <c r="B89" s="3" t="inlineStr">
        <is>
          <t>AC-ITH-21</t>
        </is>
      </c>
      <c r="C89" s="3" t="n">
        <v>6</v>
      </c>
      <c r="D89" s="3">
        <f>IF(B89="","",IFERROR(INDEX('Acceptance Criteria'!$D:$D,MATCH(B89,'Acceptance Criteria'!$A:$A,0)),IFERROR(INDEX('Delivery Standards'!$B:$B,MATCH(B89,'Delivery Standards'!$A:$A,0)),"⚠ Unknown AC ID")))</f>
        <v/>
      </c>
      <c r="E89" s="3">
        <f>IF(B89="","",IFERROR(INDEX('Acceptance Criteria'!$G:$G,MATCH(B89,'Acceptance Criteria'!$A:$A,0)),IFERROR(INDEX('Delivery Standards'!$C:$C,MATCH(B89,'Delivery Standards'!$A:$A,0)),"⚠ Unknown AC ID")))</f>
        <v/>
      </c>
      <c r="F89" s="3" t="inlineStr">
        <is>
          <t>Activity on creation</t>
        </is>
      </c>
      <c r="G89" s="3" t="inlineStr">
        <is>
          <t>Positive</t>
        </is>
      </c>
      <c r="H89" s="3" t="inlineStr">
        <is>
          <t>Signed in as a technician (a row in ITH_UserRole with role Technician). The sample tickets from data-model.md exist.</t>
        </is>
      </c>
      <c r="I89" s="3" t="inlineStr">
        <is>
          <t>1. Create a ticket assigned to Priya Nair.
2. Open its Activity.</t>
        </is>
      </c>
      <c r="J89" s="3" t="inlineStr">
        <is>
          <t>"&lt;requester&gt; created the ticket" and "&lt;you&gt; assigned the ticket to Priya Nair".</t>
        </is>
      </c>
      <c r="K89" s="3" t="n"/>
      <c r="L89" s="3" t="inlineStr">
        <is>
          <t>Not Run</t>
        </is>
      </c>
      <c r="M89" s="3" t="n"/>
      <c r="N89" s="3" t="n"/>
    </row>
    <row r="90">
      <c r="A90" s="3" t="inlineStr">
        <is>
          <t>TC-FRM-015</t>
        </is>
      </c>
      <c r="B90" s="3" t="inlineStr">
        <is>
          <t>AC-ITH-21</t>
        </is>
      </c>
      <c r="C90" s="3" t="n">
        <v>7</v>
      </c>
      <c r="D90" s="3">
        <f>IF(B90="","",IFERROR(INDEX('Acceptance Criteria'!$D:$D,MATCH(B90,'Acceptance Criteria'!$A:$A,0)),IFERROR(INDEX('Delivery Standards'!$B:$B,MATCH(B90,'Delivery Standards'!$A:$A,0)),"⚠ Unknown AC ID")))</f>
        <v/>
      </c>
      <c r="E90" s="3">
        <f>IF(B90="","",IFERROR(INDEX('Acceptance Criteria'!$G:$G,MATCH(B90,'Acceptance Criteria'!$A:$A,0)),IFERROR(INDEX('Delivery Standards'!$C:$C,MATCH(B90,'Delivery Standards'!$A:$A,0)),"⚠ Unknown AC ID")))</f>
        <v/>
      </c>
      <c r="F90" s="3" t="inlineStr">
        <is>
          <t>Save fails</t>
        </is>
      </c>
      <c r="G90" s="3" t="inlineStr">
        <is>
          <t>Negative</t>
        </is>
      </c>
      <c r="H90" s="3" t="inlineStr">
        <is>
          <t>Signed in as a technician (a row in ITH_UserRole with role Technician). The sample tickets from data-model.md exist. The tester has read-only rights to ITH_Ticket.</t>
        </is>
      </c>
      <c r="I90" s="3" t="inlineStr">
        <is>
          <t>1. Fill in the form and select "Create ticket".</t>
        </is>
      </c>
      <c r="J90" s="3" t="inlineStr">
        <is>
          <t>The form stays open with what was typed and a message says the ticket was not saved.</t>
        </is>
      </c>
      <c r="K90" s="3" t="n"/>
      <c r="L90" s="3" t="inlineStr">
        <is>
          <t>Not Run</t>
        </is>
      </c>
      <c r="M90" s="3" t="n"/>
      <c r="N90" s="3" t="n"/>
    </row>
    <row r="91">
      <c r="A91" s="3" t="inlineStr">
        <is>
          <t>TC-FRM-016</t>
        </is>
      </c>
      <c r="B91" s="3" t="inlineStr">
        <is>
          <t>AC-ITH-22</t>
        </is>
      </c>
      <c r="C91" s="3" t="n">
        <v>1</v>
      </c>
      <c r="D91" s="3">
        <f>IF(B91="","",IFERROR(INDEX('Acceptance Criteria'!$D:$D,MATCH(B91,'Acceptance Criteria'!$A:$A,0)),IFERROR(INDEX('Delivery Standards'!$B:$B,MATCH(B91,'Delivery Standards'!$A:$A,0)),"⚠ Unknown AC ID")))</f>
        <v/>
      </c>
      <c r="E91" s="3">
        <f>IF(B91="","",IFERROR(INDEX('Acceptance Criteria'!$G:$G,MATCH(B91,'Acceptance Criteria'!$A:$A,0)),IFERROR(INDEX('Delivery Standards'!$C:$C,MATCH(B91,'Delivery Standards'!$A:$A,0)),"⚠ Unknown AC ID")))</f>
        <v/>
      </c>
      <c r="F91" s="3" t="inlineStr">
        <is>
          <t>Empty subject</t>
        </is>
      </c>
      <c r="G91" s="3" t="inlineStr">
        <is>
          <t>Negative</t>
        </is>
      </c>
      <c r="H91" s="3" t="inlineStr">
        <is>
          <t>Signed in as a technician (a row in ITH_UserRole with role Technician). The sample tickets from data-model.md exist.</t>
        </is>
      </c>
      <c r="I91" s="3" t="inlineStr">
        <is>
          <t>1. Leave the subject empty (or type spaces).
2. Fill the description.
3. Select "Create ticket".</t>
        </is>
      </c>
      <c r="J91" s="3" t="inlineStr">
        <is>
          <t>"Enter a subject." appears under the subject, its border is red, nothing is saved.</t>
        </is>
      </c>
      <c r="K91" s="3" t="n"/>
      <c r="L91" s="3" t="inlineStr">
        <is>
          <t>Not Run</t>
        </is>
      </c>
      <c r="M91" s="3" t="n"/>
      <c r="N91" s="3" t="n"/>
    </row>
    <row r="92">
      <c r="A92" s="3" t="inlineStr">
        <is>
          <t>TC-FRM-017</t>
        </is>
      </c>
      <c r="B92" s="3" t="inlineStr">
        <is>
          <t>AC-ITH-22</t>
        </is>
      </c>
      <c r="C92" s="3" t="n">
        <v>2</v>
      </c>
      <c r="D92" s="3">
        <f>IF(B92="","",IFERROR(INDEX('Acceptance Criteria'!$D:$D,MATCH(B92,'Acceptance Criteria'!$A:$A,0)),IFERROR(INDEX('Delivery Standards'!$B:$B,MATCH(B92,'Delivery Standards'!$A:$A,0)),"⚠ Unknown AC ID")))</f>
        <v/>
      </c>
      <c r="E92" s="3">
        <f>IF(B92="","",IFERROR(INDEX('Acceptance Criteria'!$G:$G,MATCH(B92,'Acceptance Criteria'!$A:$A,0)),IFERROR(INDEX('Delivery Standards'!$C:$C,MATCH(B92,'Delivery Standards'!$A:$A,0)),"⚠ Unknown AC ID")))</f>
        <v/>
      </c>
      <c r="F92" s="3" t="inlineStr">
        <is>
          <t>Empty description</t>
        </is>
      </c>
      <c r="G92" s="3" t="inlineStr">
        <is>
          <t>Negative</t>
        </is>
      </c>
      <c r="H92" s="3" t="inlineStr">
        <is>
          <t>Signed in as a technician (a row in ITH_UserRole with role Technician). The sample tickets from data-model.md exist.</t>
        </is>
      </c>
      <c r="I92" s="3" t="inlineStr">
        <is>
          <t>1. Fill the subject only.
2. Select "Create ticket".</t>
        </is>
      </c>
      <c r="J92" s="3" t="inlineStr">
        <is>
          <t>"Describe the issue." appears under the description; nothing is saved.</t>
        </is>
      </c>
      <c r="K92" s="3" t="n"/>
      <c r="L92" s="3" t="inlineStr">
        <is>
          <t>Not Run</t>
        </is>
      </c>
      <c r="M92" s="3" t="n"/>
      <c r="N92" s="3" t="n"/>
    </row>
    <row r="93">
      <c r="A93" s="3" t="inlineStr">
        <is>
          <t>TC-FRM-018</t>
        </is>
      </c>
      <c r="B93" s="3" t="inlineStr">
        <is>
          <t>AC-ITH-22</t>
        </is>
      </c>
      <c r="C93" s="3" t="n">
        <v>3</v>
      </c>
      <c r="D93" s="3">
        <f>IF(B93="","",IFERROR(INDEX('Acceptance Criteria'!$D:$D,MATCH(B93,'Acceptance Criteria'!$A:$A,0)),IFERROR(INDEX('Delivery Standards'!$B:$B,MATCH(B93,'Delivery Standards'!$A:$A,0)),"⚠ Unknown AC ID")))</f>
        <v/>
      </c>
      <c r="E93" s="3">
        <f>IF(B93="","",IFERROR(INDEX('Acceptance Criteria'!$G:$G,MATCH(B93,'Acceptance Criteria'!$A:$A,0)),IFERROR(INDEX('Delivery Standards'!$C:$C,MATCH(B93,'Delivery Standards'!$A:$A,0)),"⚠ Unknown AC ID")))</f>
        <v/>
      </c>
      <c r="F93" s="3" t="inlineStr">
        <is>
          <t>Invalid email</t>
        </is>
      </c>
      <c r="G93" s="3" t="inlineStr">
        <is>
          <t>Negative</t>
        </is>
      </c>
      <c r="H93" s="3" t="inlineStr">
        <is>
          <t>Signed in as a technician (a row in ITH_UserRole with role Technician). The sample tickets from data-model.md exist.</t>
        </is>
      </c>
      <c r="I93" s="3" t="inlineStr">
        <is>
          <t>1. Fill subject and description.
2. As a technician type "not-an-email" in Requester email.
3. Select "Create ticket".</t>
        </is>
      </c>
      <c r="J93" s="3" t="inlineStr">
        <is>
          <t>"Enter a valid email address." appears; nothing is saved.</t>
        </is>
      </c>
      <c r="K93" s="3" t="n"/>
      <c r="L93" s="3" t="inlineStr">
        <is>
          <t>Not Run</t>
        </is>
      </c>
      <c r="M93" s="3" t="n"/>
      <c r="N93" s="3" t="n"/>
    </row>
    <row r="94">
      <c r="A94" s="3" t="inlineStr">
        <is>
          <t>TC-FRM-019</t>
        </is>
      </c>
      <c r="B94" s="3" t="inlineStr">
        <is>
          <t>AC-ITH-22</t>
        </is>
      </c>
      <c r="C94" s="3" t="n">
        <v>3</v>
      </c>
      <c r="D94" s="3">
        <f>IF(B94="","",IFERROR(INDEX('Acceptance Criteria'!$D:$D,MATCH(B94,'Acceptance Criteria'!$A:$A,0)),IFERROR(INDEX('Delivery Standards'!$B:$B,MATCH(B94,'Delivery Standards'!$A:$A,0)),"⚠ Unknown AC ID")))</f>
        <v/>
      </c>
      <c r="E94" s="3">
        <f>IF(B94="","",IFERROR(INDEX('Acceptance Criteria'!$G:$G,MATCH(B94,'Acceptance Criteria'!$A:$A,0)),IFERROR(INDEX('Delivery Standards'!$C:$C,MATCH(B94,'Delivery Standards'!$A:$A,0)),"⚠ Unknown AC ID")))</f>
        <v/>
      </c>
      <c r="F94" s="3" t="inlineStr">
        <is>
          <t>Empty email is allowed</t>
        </is>
      </c>
      <c r="G94" s="3" t="inlineStr">
        <is>
          <t>Edge</t>
        </is>
      </c>
      <c r="H94" s="3" t="inlineStr">
        <is>
          <t>Signed in as a technician (a row in ITH_UserRole with role Technician). The sample tickets from data-model.md exist.</t>
        </is>
      </c>
      <c r="I94" s="3" t="inlineStr">
        <is>
          <t>1. Clear Requester email.
2. Fill the other required fields and save.</t>
        </is>
      </c>
      <c r="J94" s="3" t="inlineStr">
        <is>
          <t>The ticket is saved with your own email.</t>
        </is>
      </c>
      <c r="K94" s="3" t="n"/>
      <c r="L94" s="3" t="inlineStr">
        <is>
          <t>Not Run</t>
        </is>
      </c>
      <c r="M94" s="3" t="n"/>
      <c r="N94" s="3" t="n"/>
    </row>
    <row r="95">
      <c r="A95" s="3" t="inlineStr">
        <is>
          <t>TC-FRM-020</t>
        </is>
      </c>
      <c r="B95" s="3" t="inlineStr">
        <is>
          <t>AC-ITH-22</t>
        </is>
      </c>
      <c r="C95" s="3" t="n">
        <v>5</v>
      </c>
      <c r="D95" s="3">
        <f>IF(B95="","",IFERROR(INDEX('Acceptance Criteria'!$D:$D,MATCH(B95,'Acceptance Criteria'!$A:$A,0)),IFERROR(INDEX('Delivery Standards'!$B:$B,MATCH(B95,'Delivery Standards'!$A:$A,0)),"⚠ Unknown AC ID")))</f>
        <v/>
      </c>
      <c r="E95" s="3">
        <f>IF(B95="","",IFERROR(INDEX('Acceptance Criteria'!$G:$G,MATCH(B95,'Acceptance Criteria'!$A:$A,0)),IFERROR(INDEX('Delivery Standards'!$C:$C,MATCH(B95,'Delivery Standards'!$A:$A,0)),"⚠ Unknown AC ID")))</f>
        <v/>
      </c>
      <c r="F95" s="3" t="inlineStr">
        <is>
          <t>Fixing an error clears its message</t>
        </is>
      </c>
      <c r="G95" s="3" t="inlineStr">
        <is>
          <t>Positive</t>
        </is>
      </c>
      <c r="H95" s="3" t="inlineStr">
        <is>
          <t>Signed in as a technician (a row in ITH_UserRole with role Technician). The sample tickets from data-model.md exist.</t>
        </is>
      </c>
      <c r="I95" s="3" t="inlineStr">
        <is>
          <t>1. Trigger "Enter a subject.".
2. Type a subject and save.</t>
        </is>
      </c>
      <c r="J95" s="3" t="inlineStr">
        <is>
          <t>The message goes and the ticket is saved.</t>
        </is>
      </c>
      <c r="K95" s="3" t="n"/>
      <c r="L95" s="3" t="inlineStr">
        <is>
          <t>Not Run</t>
        </is>
      </c>
      <c r="M95" s="3" t="n"/>
      <c r="N95" s="3" t="n"/>
    </row>
    <row r="96">
      <c r="A96" s="3" t="inlineStr">
        <is>
          <t>TC-FRM-021</t>
        </is>
      </c>
      <c r="B96" s="3" t="inlineStr">
        <is>
          <t>AC-ITH-22</t>
        </is>
      </c>
      <c r="C96" s="3" t="n">
        <v>4</v>
      </c>
      <c r="D96" s="3">
        <f>IF(B96="","",IFERROR(INDEX('Acceptance Criteria'!$D:$D,MATCH(B96,'Acceptance Criteria'!$A:$A,0)),IFERROR(INDEX('Delivery Standards'!$B:$B,MATCH(B96,'Delivery Standards'!$A:$A,0)),"⚠ Unknown AC ID")))</f>
        <v/>
      </c>
      <c r="E96" s="3">
        <f>IF(B96="","",IFERROR(INDEX('Acceptance Criteria'!$G:$G,MATCH(B96,'Acceptance Criteria'!$A:$A,0)),IFERROR(INDEX('Delivery Standards'!$C:$C,MATCH(B96,'Delivery Standards'!$A:$A,0)),"⚠ Unknown AC ID")))</f>
        <v/>
      </c>
      <c r="F96" s="3" t="inlineStr">
        <is>
          <t>Errors are announced</t>
        </is>
      </c>
      <c r="G96" s="3" t="inlineStr">
        <is>
          <t>Accessibility</t>
        </is>
      </c>
      <c r="H96" s="3" t="inlineStr">
        <is>
          <t>Signed in as a technician (a row in ITH_UserRole with role Technician). The sample tickets from data-model.md exist.</t>
        </is>
      </c>
      <c r="I96" s="3" t="inlineStr">
        <is>
          <t>1. Trigger an error with a screen reader running.</t>
        </is>
      </c>
      <c r="J96" s="3" t="inlineStr">
        <is>
          <t>The message is read aloud; the field is not marked by colour alone.</t>
        </is>
      </c>
      <c r="K96" s="3" t="n"/>
      <c r="L96" s="3" t="inlineStr">
        <is>
          <t>Not Run</t>
        </is>
      </c>
      <c r="M96" s="3" t="n"/>
      <c r="N96" s="3" t="n"/>
    </row>
    <row r="97">
      <c r="A97" s="3" t="inlineStr">
        <is>
          <t>TC-FRM-022</t>
        </is>
      </c>
      <c r="B97" s="3" t="inlineStr">
        <is>
          <t>AC-ITH-22</t>
        </is>
      </c>
      <c r="C97" s="3" t="n">
        <v>6</v>
      </c>
      <c r="D97" s="3">
        <f>IF(B97="","",IFERROR(INDEX('Acceptance Criteria'!$D:$D,MATCH(B97,'Acceptance Criteria'!$A:$A,0)),IFERROR(INDEX('Delivery Standards'!$B:$B,MATCH(B97,'Delivery Standards'!$A:$A,0)),"⚠ Unknown AC ID")))</f>
        <v/>
      </c>
      <c r="E97" s="3">
        <f>IF(B97="","",IFERROR(INDEX('Acceptance Criteria'!$G:$G,MATCH(B97,'Acceptance Criteria'!$A:$A,0)),IFERROR(INDEX('Delivery Standards'!$C:$C,MATCH(B97,'Delivery Standards'!$A:$A,0)),"⚠ Unknown AC ID")))</f>
        <v/>
      </c>
      <c r="F97" s="3" t="inlineStr">
        <is>
          <t>Blank requester name</t>
        </is>
      </c>
      <c r="G97" s="3" t="inlineStr">
        <is>
          <t>Edge</t>
        </is>
      </c>
      <c r="H97" s="3" t="inlineStr">
        <is>
          <t>Signed in as a technician (a row in ITH_UserRole with role Technician). The sample tickets from data-model.md exist.</t>
        </is>
      </c>
      <c r="I97" s="3" t="inlineStr">
        <is>
          <t>1. Clear Requester name and save.</t>
        </is>
      </c>
      <c r="J97" s="3" t="inlineStr">
        <is>
          <t>The ticket's requester is the signed-in user's name.</t>
        </is>
      </c>
      <c r="K97" s="3" t="n"/>
      <c r="L97" s="3" t="inlineStr">
        <is>
          <t>Not Run</t>
        </is>
      </c>
      <c r="M97" s="3" t="n"/>
      <c r="N97" s="3" t="n"/>
    </row>
    <row r="98">
      <c r="A98" s="3" t="inlineStr">
        <is>
          <t>TC-FRM-023</t>
        </is>
      </c>
      <c r="B98" s="3" t="inlineStr">
        <is>
          <t>AC-ITH-23</t>
        </is>
      </c>
      <c r="C98" s="3" t="n">
        <v>2</v>
      </c>
      <c r="D98" s="3">
        <f>IF(B98="","",IFERROR(INDEX('Acceptance Criteria'!$D:$D,MATCH(B98,'Acceptance Criteria'!$A:$A,0)),IFERROR(INDEX('Delivery Standards'!$B:$B,MATCH(B98,'Delivery Standards'!$A:$A,0)),"⚠ Unknown AC ID")))</f>
        <v/>
      </c>
      <c r="E98" s="3">
        <f>IF(B98="","",IFERROR(INDEX('Acceptance Criteria'!$G:$G,MATCH(B98,'Acceptance Criteria'!$A:$A,0)),IFERROR(INDEX('Delivery Standards'!$C:$C,MATCH(B98,'Delivery Standards'!$A:$A,0)),"⚠ Unknown AC ID")))</f>
        <v/>
      </c>
      <c r="F98" s="3" t="inlineStr">
        <is>
          <t>Attachment stored in SharePoint</t>
        </is>
      </c>
      <c r="G98" s="3" t="inlineStr">
        <is>
          <t>Positive</t>
        </is>
      </c>
      <c r="H98" s="3" t="inlineStr">
        <is>
          <t>Signed in as a technician (a row in ITH_UserRole with role Technician). The sample tickets from data-model.md exist.</t>
        </is>
      </c>
      <c r="I98" s="3" t="inlineStr">
        <is>
          <t>1. Add a file to a ticket as described in S-ATT.
2. Open the item in SharePoint.</t>
        </is>
      </c>
      <c r="J98" s="3" t="inlineStr">
        <is>
          <t>The file is attached to the item.</t>
        </is>
      </c>
      <c r="K98" s="3" t="n"/>
      <c r="L98" s="3" t="inlineStr">
        <is>
          <t>Not Run</t>
        </is>
      </c>
      <c r="M98" s="3" t="inlineStr">
        <is>
          <t>Blocked until S-ATT (the Attachments control) is built in Studio.</t>
        </is>
      </c>
      <c r="N98" s="3" t="n"/>
    </row>
    <row r="99">
      <c r="A99" s="3" t="inlineStr">
        <is>
          <t>TC-FRM-024</t>
        </is>
      </c>
      <c r="B99" s="3" t="inlineStr">
        <is>
          <t>AC-ITH-23</t>
        </is>
      </c>
      <c r="C99" s="3" t="n">
        <v>3</v>
      </c>
      <c r="D99" s="3">
        <f>IF(B99="","",IFERROR(INDEX('Acceptance Criteria'!$D:$D,MATCH(B99,'Acceptance Criteria'!$A:$A,0)),IFERROR(INDEX('Delivery Standards'!$B:$B,MATCH(B99,'Delivery Standards'!$A:$A,0)),"⚠ Unknown AC ID")))</f>
        <v/>
      </c>
      <c r="E99" s="3">
        <f>IF(B99="","",IFERROR(INDEX('Acceptance Criteria'!$G:$G,MATCH(B99,'Acceptance Criteria'!$A:$A,0)),IFERROR(INDEX('Delivery Standards'!$C:$C,MATCH(B99,'Delivery Standards'!$A:$A,0)),"⚠ Unknown AC ID")))</f>
        <v/>
      </c>
      <c r="F99" s="3" t="inlineStr">
        <is>
          <t>Attachments listed on the ticket</t>
        </is>
      </c>
      <c r="G99" s="3" t="inlineStr">
        <is>
          <t>Positive</t>
        </is>
      </c>
      <c r="H99" s="3" t="inlineStr">
        <is>
          <t>Signed in as a technician (a row in ITH_UserRole with role Technician). The sample tickets from data-model.md exist. HD-1001 has an attachment.</t>
        </is>
      </c>
      <c r="I99" s="3" t="inlineStr">
        <is>
          <t>1. Open HD-1001.</t>
        </is>
      </c>
      <c r="J99" s="3" t="inlineStr">
        <is>
          <t>The attachment's file name is listed; a ticket without any says "No attachments."</t>
        </is>
      </c>
      <c r="K99" s="3" t="n"/>
      <c r="L99" s="3" t="inlineStr">
        <is>
          <t>Not Run</t>
        </is>
      </c>
      <c r="M99" s="3" t="inlineStr">
        <is>
          <t>File size is not shown (DEV-05).</t>
        </is>
      </c>
      <c r="N99" s="3" t="n"/>
    </row>
    <row r="100">
      <c r="A100" s="3" t="inlineStr">
        <is>
          <t>TC-FRM-025</t>
        </is>
      </c>
      <c r="B100" s="3" t="inlineStr">
        <is>
          <t>AC-ITH-26</t>
        </is>
      </c>
      <c r="C100" s="3" t="n">
        <v>1</v>
      </c>
      <c r="D100" s="3">
        <f>IF(B100="","",IFERROR(INDEX('Acceptance Criteria'!$D:$D,MATCH(B100,'Acceptance Criteria'!$A:$A,0)),IFERROR(INDEX('Delivery Standards'!$B:$B,MATCH(B100,'Delivery Standards'!$A:$A,0)),"⚠ Unknown AC ID")))</f>
        <v/>
      </c>
      <c r="E100" s="3">
        <f>IF(B100="","",IFERROR(INDEX('Acceptance Criteria'!$G:$G,MATCH(B100,'Acceptance Criteria'!$A:$A,0)),IFERROR(INDEX('Delivery Standards'!$C:$C,MATCH(B100,'Delivery Standards'!$A:$A,0)),"⚠ Unknown AC ID")))</f>
        <v/>
      </c>
      <c r="F100" s="3" t="inlineStr">
        <is>
          <t>Edit form is filled in</t>
        </is>
      </c>
      <c r="G100" s="3" t="inlineStr">
        <is>
          <t>Positive</t>
        </is>
      </c>
      <c r="H100" s="3" t="inlineStr">
        <is>
          <t>Signed in as a technician (a row in ITH_UserRole with role Technician). The sample tickets from data-model.md exist.</t>
        </is>
      </c>
      <c r="I100" s="3" t="inlineStr">
        <is>
          <t>1. Select Edit on a ticket.</t>
        </is>
      </c>
      <c r="J100" s="3" t="inlineStr">
        <is>
          <t>The form is titled "Edit &lt;ID&gt;" and holds the ticket's current values.</t>
        </is>
      </c>
      <c r="K100" s="3" t="n"/>
      <c r="L100" s="3" t="inlineStr">
        <is>
          <t>Not Run</t>
        </is>
      </c>
      <c r="M100" s="3" t="n"/>
      <c r="N100" s="3" t="n"/>
    </row>
    <row r="101">
      <c r="A101" s="3" t="inlineStr">
        <is>
          <t>TC-FRM-026</t>
        </is>
      </c>
      <c r="B101" s="3" t="inlineStr">
        <is>
          <t>AC-ITH-26</t>
        </is>
      </c>
      <c r="C101" s="3" t="n">
        <v>2</v>
      </c>
      <c r="D101" s="3">
        <f>IF(B101="","",IFERROR(INDEX('Acceptance Criteria'!$D:$D,MATCH(B101,'Acceptance Criteria'!$A:$A,0)),IFERROR(INDEX('Delivery Standards'!$B:$B,MATCH(B101,'Delivery Standards'!$A:$A,0)),"⚠ Unknown AC ID")))</f>
        <v/>
      </c>
      <c r="E101" s="3">
        <f>IF(B101="","",IFERROR(INDEX('Acceptance Criteria'!$G:$G,MATCH(B101,'Acceptance Criteria'!$A:$A,0)),IFERROR(INDEX('Delivery Standards'!$C:$C,MATCH(B101,'Delivery Standards'!$A:$A,0)),"⚠ Unknown AC ID")))</f>
        <v/>
      </c>
      <c r="F101" s="3" t="inlineStr">
        <is>
          <t>Edit saves</t>
        </is>
      </c>
      <c r="G101" s="3" t="inlineStr">
        <is>
          <t>Positive</t>
        </is>
      </c>
      <c r="H101" s="3" t="inlineStr">
        <is>
          <t>Signed in as a technician (a row in ITH_UserRole with role Technician). The sample tickets from data-model.md exist.</t>
        </is>
      </c>
      <c r="I101" s="3" t="inlineStr">
        <is>
          <t>1. Edit a ticket: change the subject and priority and save.</t>
        </is>
      </c>
      <c r="J101" s="3" t="inlineStr">
        <is>
          <t>The new values show in the list and detail.</t>
        </is>
      </c>
      <c r="K101" s="3" t="n"/>
      <c r="L101" s="3" t="inlineStr">
        <is>
          <t>Not Run</t>
        </is>
      </c>
      <c r="M101" s="3" t="n"/>
      <c r="N101" s="3" t="n"/>
    </row>
    <row r="102">
      <c r="A102" s="3" t="inlineStr">
        <is>
          <t>TC-FRM-027</t>
        </is>
      </c>
      <c r="B102" s="3" t="inlineStr">
        <is>
          <t>AC-ITH-26</t>
        </is>
      </c>
      <c r="C102" s="3" t="n">
        <v>3</v>
      </c>
      <c r="D102" s="3">
        <f>IF(B102="","",IFERROR(INDEX('Acceptance Criteria'!$D:$D,MATCH(B102,'Acceptance Criteria'!$A:$A,0)),IFERROR(INDEX('Delivery Standards'!$B:$B,MATCH(B102,'Delivery Standards'!$A:$A,0)),"⚠ Unknown AC ID")))</f>
        <v/>
      </c>
      <c r="E102" s="3">
        <f>IF(B102="","",IFERROR(INDEX('Acceptance Criteria'!$G:$G,MATCH(B102,'Acceptance Criteria'!$A:$A,0)),IFERROR(INDEX('Delivery Standards'!$C:$C,MATCH(B102,'Delivery Standards'!$A:$A,0)),"⚠ Unknown AC ID")))</f>
        <v/>
      </c>
      <c r="F102" s="3" t="inlineStr">
        <is>
          <t>Edit message and activity</t>
        </is>
      </c>
      <c r="G102" s="3" t="inlineStr">
        <is>
          <t>Positive</t>
        </is>
      </c>
      <c r="H102" s="3" t="inlineStr">
        <is>
          <t>Signed in as a technician (a row in ITH_UserRole with role Technician). The sample tickets from data-model.md exist.</t>
        </is>
      </c>
      <c r="I102" s="3" t="inlineStr">
        <is>
          <t>1. Save an edit.</t>
        </is>
      </c>
      <c r="J102" s="3" t="inlineStr">
        <is>
          <t>"&lt;ID&gt; updated" appears; Activity gets "&lt;you&gt; edited ticket details" and Last updated changes.</t>
        </is>
      </c>
      <c r="K102" s="3" t="n"/>
      <c r="L102" s="3" t="inlineStr">
        <is>
          <t>Not Run</t>
        </is>
      </c>
      <c r="M102" s="3" t="n"/>
      <c r="N102" s="3" t="n"/>
    </row>
    <row r="103">
      <c r="A103" s="3" t="inlineStr">
        <is>
          <t>TC-FRM-028</t>
        </is>
      </c>
      <c r="B103" s="3" t="inlineStr">
        <is>
          <t>AC-ITH-26</t>
        </is>
      </c>
      <c r="C103" s="3" t="n">
        <v>5</v>
      </c>
      <c r="D103" s="3">
        <f>IF(B103="","",IFERROR(INDEX('Acceptance Criteria'!$D:$D,MATCH(B103,'Acceptance Criteria'!$A:$A,0)),IFERROR(INDEX('Delivery Standards'!$B:$B,MATCH(B103,'Delivery Standards'!$A:$A,0)),"⚠ Unknown AC ID")))</f>
        <v/>
      </c>
      <c r="E103" s="3">
        <f>IF(B103="","",IFERROR(INDEX('Acceptance Criteria'!$G:$G,MATCH(B103,'Acceptance Criteria'!$A:$A,0)),IFERROR(INDEX('Delivery Standards'!$C:$C,MATCH(B103,'Delivery Standards'!$A:$A,0)),"⚠ Unknown AC ID")))</f>
        <v/>
      </c>
      <c r="F103" s="3" t="inlineStr">
        <is>
          <t>Requester cannot edit</t>
        </is>
      </c>
      <c r="G103" s="3" t="inlineStr">
        <is>
          <t>Negative</t>
        </is>
      </c>
      <c r="H103" s="3" t="inlineStr">
        <is>
          <t>Signed in as a requester (a row in ITH_UserRole with role Requester, or no row). Tickets HD-1 and HD-2 were raised by this user, others by other people.</t>
        </is>
      </c>
      <c r="I103" s="3" t="inlineStr">
        <is>
          <t>1. Open one of your tickets.</t>
        </is>
      </c>
      <c r="J103" s="3" t="inlineStr">
        <is>
          <t>No Edit button is shown.</t>
        </is>
      </c>
      <c r="K103" s="3" t="n"/>
      <c r="L103" s="3" t="inlineStr">
        <is>
          <t>Not Run</t>
        </is>
      </c>
      <c r="M103" s="3" t="n"/>
      <c r="N103" s="3" t="n"/>
    </row>
    <row r="104">
      <c r="A104" s="3" t="inlineStr">
        <is>
          <t>TC-DRW-001</t>
        </is>
      </c>
      <c r="B104" s="3" t="inlineStr">
        <is>
          <t>AC-ITH-24</t>
        </is>
      </c>
      <c r="C104" s="3" t="n">
        <v>1</v>
      </c>
      <c r="D104" s="3">
        <f>IF(B104="","",IFERROR(INDEX('Acceptance Criteria'!$D:$D,MATCH(B104,'Acceptance Criteria'!$A:$A,0)),IFERROR(INDEX('Delivery Standards'!$B:$B,MATCH(B104,'Delivery Standards'!$A:$A,0)),"⚠ Unknown AC ID")))</f>
        <v/>
      </c>
      <c r="E104" s="3">
        <f>IF(B104="","",IFERROR(INDEX('Acceptance Criteria'!$G:$G,MATCH(B104,'Acceptance Criteria'!$A:$A,0)),IFERROR(INDEX('Delivery Standards'!$C:$C,MATCH(B104,'Delivery Standards'!$A:$A,0)),"⚠ Unknown AC ID")))</f>
        <v/>
      </c>
      <c r="F104" s="3" t="inlineStr">
        <is>
          <t>Open and close the panel</t>
        </is>
      </c>
      <c r="G104" s="3" t="inlineStr">
        <is>
          <t>Positive</t>
        </is>
      </c>
      <c r="H104" s="3" t="inlineStr">
        <is>
          <t>Signed in as a technician (a row in ITH_UserRole with role Technician). The sample tickets from data-model.md exist.</t>
        </is>
      </c>
      <c r="I104" s="3" t="inlineStr">
        <is>
          <t>1. Open a ticket.
2. Close it with the close button, then reopen and select outside it.</t>
        </is>
      </c>
      <c r="J104" s="3" t="inlineStr">
        <is>
          <t>The panel opens at the right over a dimmed background and closes both ways.</t>
        </is>
      </c>
      <c r="K104" s="3" t="n"/>
      <c r="L104" s="3" t="inlineStr">
        <is>
          <t>Not Run</t>
        </is>
      </c>
      <c r="M104" s="3" t="n"/>
      <c r="N104" s="3" t="n"/>
    </row>
    <row r="105">
      <c r="A105" s="3" t="inlineStr">
        <is>
          <t>TC-DRW-002</t>
        </is>
      </c>
      <c r="B105" s="3" t="inlineStr">
        <is>
          <t>AC-ITH-24</t>
        </is>
      </c>
      <c r="C105" s="3" t="n">
        <v>2</v>
      </c>
      <c r="D105" s="3">
        <f>IF(B105="","",IFERROR(INDEX('Acceptance Criteria'!$D:$D,MATCH(B105,'Acceptance Criteria'!$A:$A,0)),IFERROR(INDEX('Delivery Standards'!$B:$B,MATCH(B105,'Delivery Standards'!$A:$A,0)),"⚠ Unknown AC ID")))</f>
        <v/>
      </c>
      <c r="E105" s="3">
        <f>IF(B105="","",IFERROR(INDEX('Acceptance Criteria'!$G:$G,MATCH(B105,'Acceptance Criteria'!$A:$A,0)),IFERROR(INDEX('Delivery Standards'!$C:$C,MATCH(B105,'Delivery Standards'!$A:$A,0)),"⚠ Unknown AC ID")))</f>
        <v/>
      </c>
      <c r="F105" s="3" t="inlineStr">
        <is>
          <t>Header of the panel</t>
        </is>
      </c>
      <c r="G105" s="3" t="inlineStr">
        <is>
          <t>Positive</t>
        </is>
      </c>
      <c r="H105" s="3" t="inlineStr">
        <is>
          <t>Signed in as a technician (a row in ITH_UserRole with role Technician). The sample tickets from data-model.md exist.</t>
        </is>
      </c>
      <c r="I105" s="3" t="inlineStr">
        <is>
          <t>1. Open a ticket.</t>
        </is>
      </c>
      <c r="J105" s="3" t="inlineStr">
        <is>
          <t>The ID, the subject as a heading, and the status and priority badges.</t>
        </is>
      </c>
      <c r="K105" s="3" t="n"/>
      <c r="L105" s="3" t="inlineStr">
        <is>
          <t>Not Run</t>
        </is>
      </c>
      <c r="M105" s="3" t="n"/>
      <c r="N105" s="3" t="n"/>
    </row>
    <row r="106">
      <c r="A106" s="3" t="inlineStr">
        <is>
          <t>TC-DRW-003</t>
        </is>
      </c>
      <c r="B106" s="3" t="inlineStr">
        <is>
          <t>AC-ITH-24</t>
        </is>
      </c>
      <c r="C106" s="3" t="n">
        <v>3</v>
      </c>
      <c r="D106" s="3">
        <f>IF(B106="","",IFERROR(INDEX('Acceptance Criteria'!$D:$D,MATCH(B106,'Acceptance Criteria'!$A:$A,0)),IFERROR(INDEX('Delivery Standards'!$B:$B,MATCH(B106,'Delivery Standards'!$A:$A,0)),"⚠ Unknown AC ID")))</f>
        <v/>
      </c>
      <c r="E106" s="3">
        <f>IF(B106="","",IFERROR(INDEX('Acceptance Criteria'!$G:$G,MATCH(B106,'Acceptance Criteria'!$A:$A,0)),IFERROR(INDEX('Delivery Standards'!$C:$C,MATCH(B106,'Delivery Standards'!$A:$A,0)),"⚠ Unknown AC ID")))</f>
        <v/>
      </c>
      <c r="F106" s="3" t="inlineStr">
        <is>
          <t>Detail grid</t>
        </is>
      </c>
      <c r="G106" s="3" t="inlineStr">
        <is>
          <t>Positive</t>
        </is>
      </c>
      <c r="H106" s="3" t="inlineStr">
        <is>
          <t>Signed in as a technician (a row in ITH_UserRole with role Technician). The sample tickets from data-model.md exist.</t>
        </is>
      </c>
      <c r="I106" s="3" t="inlineStr">
        <is>
          <t>1. Read the grid.</t>
        </is>
      </c>
      <c r="J106" s="3" t="inlineStr">
        <is>
          <t>Status, Priority, Assigned technician, Category, Requester (name, email), Created and Last updated as "dd Mon yyyy, hh:mm".</t>
        </is>
      </c>
      <c r="K106" s="3" t="n"/>
      <c r="L106" s="3" t="inlineStr">
        <is>
          <t>Not Run</t>
        </is>
      </c>
      <c r="M106" s="3" t="n"/>
      <c r="N106" s="3" t="n"/>
    </row>
    <row r="107">
      <c r="A107" s="3" t="inlineStr">
        <is>
          <t>TC-DRW-004</t>
        </is>
      </c>
      <c r="B107" s="3" t="inlineStr">
        <is>
          <t>AC-ITH-24</t>
        </is>
      </c>
      <c r="C107" s="3" t="n">
        <v>4</v>
      </c>
      <c r="D107" s="3">
        <f>IF(B107="","",IFERROR(INDEX('Acceptance Criteria'!$D:$D,MATCH(B107,'Acceptance Criteria'!$A:$A,0)),IFERROR(INDEX('Delivery Standards'!$B:$B,MATCH(B107,'Delivery Standards'!$A:$A,0)),"⚠ Unknown AC ID")))</f>
        <v/>
      </c>
      <c r="E107" s="3">
        <f>IF(B107="","",IFERROR(INDEX('Acceptance Criteria'!$G:$G,MATCH(B107,'Acceptance Criteria'!$A:$A,0)),IFERROR(INDEX('Delivery Standards'!$C:$C,MATCH(B107,'Delivery Standards'!$A:$A,0)),"⚠ Unknown AC ID")))</f>
        <v/>
      </c>
      <c r="F107" s="3" t="inlineStr">
        <is>
          <t>Sections</t>
        </is>
      </c>
      <c r="G107" s="3" t="inlineStr">
        <is>
          <t>Positive</t>
        </is>
      </c>
      <c r="H107" s="3" t="inlineStr">
        <is>
          <t>Signed in as a technician (a row in ITH_UserRole with role Technician). The sample tickets from data-model.md exist.</t>
        </is>
      </c>
      <c r="I107" s="3" t="inlineStr">
        <is>
          <t>1. Scroll the panel.</t>
        </is>
      </c>
      <c r="J107" s="3" t="inlineStr">
        <is>
          <t>Description (line breaks kept), Attachments, Comments (n), Activity.</t>
        </is>
      </c>
      <c r="K107" s="3" t="n"/>
      <c r="L107" s="3" t="inlineStr">
        <is>
          <t>Not Run</t>
        </is>
      </c>
      <c r="M107" s="3" t="n"/>
      <c r="N107" s="3" t="n"/>
    </row>
    <row r="108">
      <c r="A108" s="3" t="inlineStr">
        <is>
          <t>TC-DRW-005</t>
        </is>
      </c>
      <c r="B108" s="3" t="inlineStr">
        <is>
          <t>AC-ITH-24</t>
        </is>
      </c>
      <c r="C108" s="3" t="n">
        <v>5</v>
      </c>
      <c r="D108" s="3">
        <f>IF(B108="","",IFERROR(INDEX('Acceptance Criteria'!$D:$D,MATCH(B108,'Acceptance Criteria'!$A:$A,0)),IFERROR(INDEX('Delivery Standards'!$B:$B,MATCH(B108,'Delivery Standards'!$A:$A,0)),"⚠ Unknown AC ID")))</f>
        <v/>
      </c>
      <c r="E108" s="3">
        <f>IF(B108="","",IFERROR(INDEX('Acceptance Criteria'!$G:$G,MATCH(B108,'Acceptance Criteria'!$A:$A,0)),IFERROR(INDEX('Delivery Standards'!$C:$C,MATCH(B108,'Delivery Standards'!$A:$A,0)),"⚠ Unknown AC ID")))</f>
        <v/>
      </c>
      <c r="F108" s="3" t="inlineStr">
        <is>
          <t>Requester can open own tickets only</t>
        </is>
      </c>
      <c r="G108" s="3" t="inlineStr">
        <is>
          <t>Negative</t>
        </is>
      </c>
      <c r="H108" s="3" t="inlineStr">
        <is>
          <t>Signed in as a requester (a row in ITH_UserRole with role Requester, or no row). Tickets HD-1 and HD-2 were raised by this user, others by other people.</t>
        </is>
      </c>
      <c r="I108" s="3" t="inlineStr">
        <is>
          <t>1. Open the link ?ticket=&lt;ID of someone else's ticket&gt;.</t>
        </is>
      </c>
      <c r="J108" s="3" t="inlineStr">
        <is>
          <t>The panel does not open for a ticket the user may not see.</t>
        </is>
      </c>
      <c r="K108" s="3" t="n"/>
      <c r="L108" s="3" t="inlineStr">
        <is>
          <t>Not Run</t>
        </is>
      </c>
      <c r="M108" s="3" t="n"/>
      <c r="N108" s="3" t="n"/>
    </row>
    <row r="109">
      <c r="A109" s="3" t="inlineStr">
        <is>
          <t>TC-DRW-006</t>
        </is>
      </c>
      <c r="B109" s="3" t="inlineStr">
        <is>
          <t>AC-ITH-25</t>
        </is>
      </c>
      <c r="C109" s="3" t="n">
        <v>1</v>
      </c>
      <c r="D109" s="3">
        <f>IF(B109="","",IFERROR(INDEX('Acceptance Criteria'!$D:$D,MATCH(B109,'Acceptance Criteria'!$A:$A,0)),IFERROR(INDEX('Delivery Standards'!$B:$B,MATCH(B109,'Delivery Standards'!$A:$A,0)),"⚠ Unknown AC ID")))</f>
        <v/>
      </c>
      <c r="E109" s="3">
        <f>IF(B109="","",IFERROR(INDEX('Acceptance Criteria'!$G:$G,MATCH(B109,'Acceptance Criteria'!$A:$A,0)),IFERROR(INDEX('Delivery Standards'!$C:$C,MATCH(B109,'Delivery Standards'!$A:$A,0)),"⚠ Unknown AC ID")))</f>
        <v/>
      </c>
      <c r="F109" s="3" t="inlineStr">
        <is>
          <t>Dropdown choices</t>
        </is>
      </c>
      <c r="G109" s="3" t="inlineStr">
        <is>
          <t>Positive</t>
        </is>
      </c>
      <c r="H109" s="3" t="inlineStr">
        <is>
          <t>Signed in as a technician (a row in ITH_UserRole with role Technician). The sample tickets from data-model.md exist.</t>
        </is>
      </c>
      <c r="I109" s="3" t="inlineStr">
        <is>
          <t>1. Open the Status, Priority and Assigned technician lists.</t>
        </is>
      </c>
      <c r="J109" s="3" t="inlineStr">
        <is>
          <t>Status: Open to Closed; Priority: Low to Critical; Assigned: Unassigned and the technicians.</t>
        </is>
      </c>
      <c r="K109" s="3" t="n"/>
      <c r="L109" s="3" t="inlineStr">
        <is>
          <t>Not Run</t>
        </is>
      </c>
      <c r="M109" s="3" t="n"/>
      <c r="N109" s="3" t="n"/>
    </row>
    <row r="110">
      <c r="A110" s="3" t="inlineStr">
        <is>
          <t>TC-DRW-007</t>
        </is>
      </c>
      <c r="B110" s="3" t="inlineStr">
        <is>
          <t>AC-ITH-25</t>
        </is>
      </c>
      <c r="C110" s="3" t="n">
        <v>2</v>
      </c>
      <c r="D110" s="3">
        <f>IF(B110="","",IFERROR(INDEX('Acceptance Criteria'!$D:$D,MATCH(B110,'Acceptance Criteria'!$A:$A,0)),IFERROR(INDEX('Delivery Standards'!$B:$B,MATCH(B110,'Delivery Standards'!$A:$A,0)),"⚠ Unknown AC ID")))</f>
        <v/>
      </c>
      <c r="E110" s="3">
        <f>IF(B110="","",IFERROR(INDEX('Acceptance Criteria'!$G:$G,MATCH(B110,'Acceptance Criteria'!$A:$A,0)),IFERROR(INDEX('Delivery Standards'!$C:$C,MATCH(B110,'Delivery Standards'!$A:$A,0)),"⚠ Unknown AC ID")))</f>
        <v/>
      </c>
      <c r="F110" s="3" t="inlineStr">
        <is>
          <t>Change saves at once</t>
        </is>
      </c>
      <c r="G110" s="3" t="inlineStr">
        <is>
          <t>Positive</t>
        </is>
      </c>
      <c r="H110" s="3" t="inlineStr">
        <is>
          <t>Signed in as a technician (a row in ITH_UserRole with role Technician). The sample tickets from data-model.md exist.</t>
        </is>
      </c>
      <c r="I110" s="3" t="inlineStr">
        <is>
          <t>1. Set Status to In Progress.</t>
        </is>
      </c>
      <c r="J110" s="3" t="inlineStr">
        <is>
          <t>It saves without another click and the list shows In Progress.</t>
        </is>
      </c>
      <c r="K110" s="3" t="n"/>
      <c r="L110" s="3" t="inlineStr">
        <is>
          <t>Not Run</t>
        </is>
      </c>
      <c r="M110" s="3" t="n"/>
      <c r="N110" s="3" t="n"/>
    </row>
    <row r="111">
      <c r="A111" s="3" t="inlineStr">
        <is>
          <t>TC-DRW-008</t>
        </is>
      </c>
      <c r="B111" s="3" t="inlineStr">
        <is>
          <t>AC-ITH-25</t>
        </is>
      </c>
      <c r="C111" s="3" t="n">
        <v>2</v>
      </c>
      <c r="D111" s="3">
        <f>IF(B111="","",IFERROR(INDEX('Acceptance Criteria'!$D:$D,MATCH(B111,'Acceptance Criteria'!$A:$A,0)),IFERROR(INDEX('Delivery Standards'!$B:$B,MATCH(B111,'Delivery Standards'!$A:$A,0)),"⚠ Unknown AC ID")))</f>
        <v/>
      </c>
      <c r="E111" s="3">
        <f>IF(B111="","",IFERROR(INDEX('Acceptance Criteria'!$G:$G,MATCH(B111,'Acceptance Criteria'!$A:$A,0)),IFERROR(INDEX('Delivery Standards'!$C:$C,MATCH(B111,'Delivery Standards'!$A:$A,0)),"⚠ Unknown AC ID")))</f>
        <v/>
      </c>
      <c r="F111" s="3" t="inlineStr">
        <is>
          <t>Same value does nothing</t>
        </is>
      </c>
      <c r="G111" s="3" t="inlineStr">
        <is>
          <t>Edge</t>
        </is>
      </c>
      <c r="H111" s="3" t="inlineStr">
        <is>
          <t>Signed in as a technician (a row in ITH_UserRole with role Technician). The sample tickets from data-model.md exist.</t>
        </is>
      </c>
      <c r="I111" s="3" t="inlineStr">
        <is>
          <t>1. Choose the status the ticket already has.</t>
        </is>
      </c>
      <c r="J111" s="3" t="inlineStr">
        <is>
          <t>No message and no activity entry.</t>
        </is>
      </c>
      <c r="K111" s="3" t="n"/>
      <c r="L111" s="3" t="inlineStr">
        <is>
          <t>Not Run</t>
        </is>
      </c>
      <c r="M111" s="3" t="n"/>
      <c r="N111" s="3" t="n"/>
    </row>
    <row r="112">
      <c r="A112" s="3" t="inlineStr">
        <is>
          <t>TC-DRW-009</t>
        </is>
      </c>
      <c r="B112" s="3" t="inlineStr">
        <is>
          <t>AC-ITH-25</t>
        </is>
      </c>
      <c r="C112" s="3" t="n">
        <v>3</v>
      </c>
      <c r="D112" s="3">
        <f>IF(B112="","",IFERROR(INDEX('Acceptance Criteria'!$D:$D,MATCH(B112,'Acceptance Criteria'!$A:$A,0)),IFERROR(INDEX('Delivery Standards'!$B:$B,MATCH(B112,'Delivery Standards'!$A:$A,0)),"⚠ Unknown AC ID")))</f>
        <v/>
      </c>
      <c r="E112" s="3">
        <f>IF(B112="","",IFERROR(INDEX('Acceptance Criteria'!$G:$G,MATCH(B112,'Acceptance Criteria'!$A:$A,0)),IFERROR(INDEX('Delivery Standards'!$C:$C,MATCH(B112,'Delivery Standards'!$A:$A,0)),"⚠ Unknown AC ID")))</f>
        <v/>
      </c>
      <c r="F112" s="3" t="inlineStr">
        <is>
          <t>Activity wording</t>
        </is>
      </c>
      <c r="G112" s="3" t="inlineStr">
        <is>
          <t>Positive</t>
        </is>
      </c>
      <c r="H112" s="3" t="inlineStr">
        <is>
          <t>Signed in as a technician (a row in ITH_UserRole with role Technician). The sample tickets from data-model.md exist.</t>
        </is>
      </c>
      <c r="I112" s="3" t="inlineStr">
        <is>
          <t>1. Change status, priority and assignee in turn.
2. Read Activity.</t>
        </is>
      </c>
      <c r="J112" s="3" t="inlineStr">
        <is>
          <t>"&lt;you&gt; changed status to &lt;v&gt;", "changed priority to &lt;v&gt;", "changed assignee to &lt;v or Unassigned&gt;"; Last updated changes.</t>
        </is>
      </c>
      <c r="K112" s="3" t="n"/>
      <c r="L112" s="3" t="inlineStr">
        <is>
          <t>Not Run</t>
        </is>
      </c>
      <c r="M112" s="3" t="n"/>
      <c r="N112" s="3" t="n"/>
    </row>
    <row r="113">
      <c r="A113" s="3" t="inlineStr">
        <is>
          <t>TC-DRW-010</t>
        </is>
      </c>
      <c r="B113" s="3" t="inlineStr">
        <is>
          <t>AC-ITH-25</t>
        </is>
      </c>
      <c r="C113" s="3" t="n">
        <v>4</v>
      </c>
      <c r="D113" s="3">
        <f>IF(B113="","",IFERROR(INDEX('Acceptance Criteria'!$D:$D,MATCH(B113,'Acceptance Criteria'!$A:$A,0)),IFERROR(INDEX('Delivery Standards'!$B:$B,MATCH(B113,'Delivery Standards'!$A:$A,0)),"⚠ Unknown AC ID")))</f>
        <v/>
      </c>
      <c r="E113" s="3">
        <f>IF(B113="","",IFERROR(INDEX('Acceptance Criteria'!$G:$G,MATCH(B113,'Acceptance Criteria'!$A:$A,0)),IFERROR(INDEX('Delivery Standards'!$C:$C,MATCH(B113,'Delivery Standards'!$A:$A,0)),"⚠ Unknown AC ID")))</f>
        <v/>
      </c>
      <c r="F113" s="3" t="inlineStr">
        <is>
          <t>Messages</t>
        </is>
      </c>
      <c r="G113" s="3" t="inlineStr">
        <is>
          <t>Positive</t>
        </is>
      </c>
      <c r="H113" s="3" t="inlineStr">
        <is>
          <t>Signed in as a technician (a row in ITH_UserRole with role Technician). The sample tickets from data-model.md exist.</t>
        </is>
      </c>
      <c r="I113" s="3" t="inlineStr">
        <is>
          <t>1. Change a status, then a priority.</t>
        </is>
      </c>
      <c r="J113" s="3" t="inlineStr">
        <is>
          <t>"&lt;ID&gt; marked &lt;status&gt;" then "Ticket updated".</t>
        </is>
      </c>
      <c r="K113" s="3" t="n"/>
      <c r="L113" s="3" t="inlineStr">
        <is>
          <t>Not Run</t>
        </is>
      </c>
      <c r="M113" s="3" t="n"/>
      <c r="N113" s="3" t="n"/>
    </row>
    <row r="114">
      <c r="A114" s="3" t="inlineStr">
        <is>
          <t>TC-DRW-011</t>
        </is>
      </c>
      <c r="B114" s="3" t="inlineStr">
        <is>
          <t>AC-ITH-25</t>
        </is>
      </c>
      <c r="C114" s="3" t="n">
        <v>5</v>
      </c>
      <c r="D114" s="3">
        <f>IF(B114="","",IFERROR(INDEX('Acceptance Criteria'!$D:$D,MATCH(B114,'Acceptance Criteria'!$A:$A,0)),IFERROR(INDEX('Delivery Standards'!$B:$B,MATCH(B114,'Delivery Standards'!$A:$A,0)),"⚠ Unknown AC ID")))</f>
        <v/>
      </c>
      <c r="E114" s="3">
        <f>IF(B114="","",IFERROR(INDEX('Acceptance Criteria'!$G:$G,MATCH(B114,'Acceptance Criteria'!$A:$A,0)),IFERROR(INDEX('Delivery Standards'!$C:$C,MATCH(B114,'Delivery Standards'!$A:$A,0)),"⚠ Unknown AC ID")))</f>
        <v/>
      </c>
      <c r="F114" s="3" t="inlineStr">
        <is>
          <t>Any status to any status</t>
        </is>
      </c>
      <c r="G114" s="3" t="inlineStr">
        <is>
          <t>Edge</t>
        </is>
      </c>
      <c r="H114" s="3" t="inlineStr">
        <is>
          <t>Signed in as a technician (a row in ITH_UserRole with role Technician). The sample tickets from data-model.md exist.</t>
        </is>
      </c>
      <c r="I114" s="3" t="inlineStr">
        <is>
          <t>1. Set a Closed ticket to Open.</t>
        </is>
      </c>
      <c r="J114" s="3" t="inlineStr">
        <is>
          <t>It is accepted.</t>
        </is>
      </c>
      <c r="K114" s="3" t="n"/>
      <c r="L114" s="3" t="inlineStr">
        <is>
          <t>Not Run</t>
        </is>
      </c>
      <c r="M114" s="3" t="n"/>
      <c r="N114" s="3" t="n"/>
    </row>
    <row r="115">
      <c r="A115" s="3" t="inlineStr">
        <is>
          <t>TC-DRW-012</t>
        </is>
      </c>
      <c r="B115" s="3" t="inlineStr">
        <is>
          <t>AC-ITH-25</t>
        </is>
      </c>
      <c r="C115" s="3" t="n">
        <v>6</v>
      </c>
      <c r="D115" s="3">
        <f>IF(B115="","",IFERROR(INDEX('Acceptance Criteria'!$D:$D,MATCH(B115,'Acceptance Criteria'!$A:$A,0)),IFERROR(INDEX('Delivery Standards'!$B:$B,MATCH(B115,'Delivery Standards'!$A:$A,0)),"⚠ Unknown AC ID")))</f>
        <v/>
      </c>
      <c r="E115" s="3">
        <f>IF(B115="","",IFERROR(INDEX('Acceptance Criteria'!$G:$G,MATCH(B115,'Acceptance Criteria'!$A:$A,0)),IFERROR(INDEX('Delivery Standards'!$C:$C,MATCH(B115,'Delivery Standards'!$A:$A,0)),"⚠ Unknown AC ID")))</f>
        <v/>
      </c>
      <c r="F115" s="3" t="inlineStr">
        <is>
          <t>Requester cannot change</t>
        </is>
      </c>
      <c r="G115" s="3" t="inlineStr">
        <is>
          <t>Negative</t>
        </is>
      </c>
      <c r="H115" s="3" t="inlineStr">
        <is>
          <t>Signed in as a requester (a row in ITH_UserRole with role Requester, or no row). Tickets HD-1 and HD-2 were raised by this user, others by other people.</t>
        </is>
      </c>
      <c r="I115" s="3" t="inlineStr">
        <is>
          <t>1. Open your own ticket and try the Status list.</t>
        </is>
      </c>
      <c r="J115" s="3" t="inlineStr">
        <is>
          <t>The values show but cannot be changed.</t>
        </is>
      </c>
      <c r="K115" s="3" t="n"/>
      <c r="L115" s="3" t="inlineStr">
        <is>
          <t>Not Run</t>
        </is>
      </c>
      <c r="M115" s="3" t="n"/>
      <c r="N115" s="3" t="n"/>
    </row>
    <row r="116">
      <c r="A116" s="3" t="inlineStr">
        <is>
          <t>TC-DRW-013</t>
        </is>
      </c>
      <c r="B116" s="3" t="inlineStr">
        <is>
          <t>AC-ITH-27</t>
        </is>
      </c>
      <c r="C116" s="3" t="n">
        <v>1</v>
      </c>
      <c r="D116" s="3">
        <f>IF(B116="","",IFERROR(INDEX('Acceptance Criteria'!$D:$D,MATCH(B116,'Acceptance Criteria'!$A:$A,0)),IFERROR(INDEX('Delivery Standards'!$B:$B,MATCH(B116,'Delivery Standards'!$A:$A,0)),"⚠ Unknown AC ID")))</f>
        <v/>
      </c>
      <c r="E116" s="3">
        <f>IF(B116="","",IFERROR(INDEX('Acceptance Criteria'!$G:$G,MATCH(B116,'Acceptance Criteria'!$A:$A,0)),IFERROR(INDEX('Delivery Standards'!$C:$C,MATCH(B116,'Delivery Standards'!$A:$A,0)),"⚠ Unknown AC ID")))</f>
        <v/>
      </c>
      <c r="F116" s="3" t="inlineStr">
        <is>
          <t>Comments list</t>
        </is>
      </c>
      <c r="G116" s="3" t="inlineStr">
        <is>
          <t>Positive</t>
        </is>
      </c>
      <c r="H116" s="3" t="inlineStr">
        <is>
          <t>Signed in as a technician (a row in ITH_UserRole with role Technician). The sample tickets from data-model.md exist. HD-1002 has comments.</t>
        </is>
      </c>
      <c r="I116" s="3" t="inlineStr">
        <is>
          <t>1. Open HD-1002.</t>
        </is>
      </c>
      <c r="J116" s="3" t="inlineStr">
        <is>
          <t>Comments oldest first with author, date and time; a ticket without comments says "No comments yet."</t>
        </is>
      </c>
      <c r="K116" s="3" t="n"/>
      <c r="L116" s="3" t="inlineStr">
        <is>
          <t>Not Run</t>
        </is>
      </c>
      <c r="M116" s="3" t="n"/>
      <c r="N116" s="3" t="n"/>
    </row>
    <row r="117">
      <c r="A117" s="3" t="inlineStr">
        <is>
          <t>TC-DRW-014</t>
        </is>
      </c>
      <c r="B117" s="3" t="inlineStr">
        <is>
          <t>AC-ITH-27</t>
        </is>
      </c>
      <c r="C117" s="3" t="n">
        <v>2</v>
      </c>
      <c r="D117" s="3">
        <f>IF(B117="","",IFERROR(INDEX('Acceptance Criteria'!$D:$D,MATCH(B117,'Acceptance Criteria'!$A:$A,0)),IFERROR(INDEX('Delivery Standards'!$B:$B,MATCH(B117,'Delivery Standards'!$A:$A,0)),"⚠ Unknown AC ID")))</f>
        <v/>
      </c>
      <c r="E117" s="3">
        <f>IF(B117="","",IFERROR(INDEX('Acceptance Criteria'!$G:$G,MATCH(B117,'Acceptance Criteria'!$A:$A,0)),IFERROR(INDEX('Delivery Standards'!$C:$C,MATCH(B117,'Delivery Standards'!$A:$A,0)),"⚠ Unknown AC ID")))</f>
        <v/>
      </c>
      <c r="F117" s="3" t="inlineStr">
        <is>
          <t>Comment box</t>
        </is>
      </c>
      <c r="G117" s="3" t="inlineStr">
        <is>
          <t>Positive</t>
        </is>
      </c>
      <c r="H117" s="3" t="inlineStr">
        <is>
          <t>Signed in as a technician (a row in ITH_UserRole with role Technician). The sample tickets from data-model.md exist.</t>
        </is>
      </c>
      <c r="I117" s="3" t="inlineStr">
        <is>
          <t>1. Look under the comments.</t>
        </is>
      </c>
      <c r="J117" s="3" t="inlineStr">
        <is>
          <t>A box with "Write a comment" and a primary "Add comment" button.</t>
        </is>
      </c>
      <c r="K117" s="3" t="n"/>
      <c r="L117" s="3" t="inlineStr">
        <is>
          <t>Not Run</t>
        </is>
      </c>
      <c r="M117" s="3" t="n"/>
      <c r="N117" s="3" t="n"/>
    </row>
    <row r="118">
      <c r="A118" s="3" t="inlineStr">
        <is>
          <t>TC-DRW-015</t>
        </is>
      </c>
      <c r="B118" s="3" t="inlineStr">
        <is>
          <t>AC-ITH-27</t>
        </is>
      </c>
      <c r="C118" s="3" t="n">
        <v>3</v>
      </c>
      <c r="D118" s="3">
        <f>IF(B118="","",IFERROR(INDEX('Acceptance Criteria'!$D:$D,MATCH(B118,'Acceptance Criteria'!$A:$A,0)),IFERROR(INDEX('Delivery Standards'!$B:$B,MATCH(B118,'Delivery Standards'!$A:$A,0)),"⚠ Unknown AC ID")))</f>
        <v/>
      </c>
      <c r="E118" s="3">
        <f>IF(B118="","",IFERROR(INDEX('Acceptance Criteria'!$G:$G,MATCH(B118,'Acceptance Criteria'!$A:$A,0)),IFERROR(INDEX('Delivery Standards'!$C:$C,MATCH(B118,'Delivery Standards'!$A:$A,0)),"⚠ Unknown AC ID")))</f>
        <v/>
      </c>
      <c r="F118" s="3" t="inlineStr">
        <is>
          <t>Empty comment</t>
        </is>
      </c>
      <c r="G118" s="3" t="inlineStr">
        <is>
          <t>Negative</t>
        </is>
      </c>
      <c r="H118" s="3" t="inlineStr">
        <is>
          <t>Signed in as a technician (a row in ITH_UserRole with role Technician). The sample tickets from data-model.md exist.</t>
        </is>
      </c>
      <c r="I118" s="3" t="inlineStr">
        <is>
          <t>1. Select "Add comment" with the box empty, then with spaces only.</t>
        </is>
      </c>
      <c r="J118" s="3" t="inlineStr">
        <is>
          <t>"Write a comment before adding it." appears as an error message and nothing is added.</t>
        </is>
      </c>
      <c r="K118" s="3" t="n"/>
      <c r="L118" s="3" t="inlineStr">
        <is>
          <t>Not Run</t>
        </is>
      </c>
      <c r="M118" s="3" t="n"/>
      <c r="N118" s="3" t="n"/>
    </row>
    <row r="119">
      <c r="A119" s="3" t="inlineStr">
        <is>
          <t>TC-DRW-016</t>
        </is>
      </c>
      <c r="B119" s="3" t="inlineStr">
        <is>
          <t>AC-ITH-27</t>
        </is>
      </c>
      <c r="C119" s="3" t="n">
        <v>4</v>
      </c>
      <c r="D119" s="3">
        <f>IF(B119="","",IFERROR(INDEX('Acceptance Criteria'!$D:$D,MATCH(B119,'Acceptance Criteria'!$A:$A,0)),IFERROR(INDEX('Delivery Standards'!$B:$B,MATCH(B119,'Delivery Standards'!$A:$A,0)),"⚠ Unknown AC ID")))</f>
        <v/>
      </c>
      <c r="E119" s="3">
        <f>IF(B119="","",IFERROR(INDEX('Acceptance Criteria'!$G:$G,MATCH(B119,'Acceptance Criteria'!$A:$A,0)),IFERROR(INDEX('Delivery Standards'!$C:$C,MATCH(B119,'Delivery Standards'!$A:$A,0)),"⚠ Unknown AC ID")))</f>
        <v/>
      </c>
      <c r="F119" s="3" t="inlineStr">
        <is>
          <t>Add a comment</t>
        </is>
      </c>
      <c r="G119" s="3" t="inlineStr">
        <is>
          <t>Positive</t>
        </is>
      </c>
      <c r="H119" s="3" t="inlineStr">
        <is>
          <t>Signed in as a technician (a row in ITH_UserRole with role Technician). The sample tickets from data-model.md exist.</t>
        </is>
      </c>
      <c r="I119" s="3" t="inlineStr">
        <is>
          <t>1. Type "TC-DRW comment".
2. Select "Add comment".</t>
        </is>
      </c>
      <c r="J119" s="3" t="inlineStr">
        <is>
          <t>The box clears, "Comment added" shows, the count goes up by one, and Activity gets "&lt;you&gt; added a comment".</t>
        </is>
      </c>
      <c r="K119" s="3" t="n"/>
      <c r="L119" s="3" t="inlineStr">
        <is>
          <t>Not Run</t>
        </is>
      </c>
      <c r="M119" s="3" t="n"/>
      <c r="N119" s="3" t="n"/>
    </row>
    <row r="120">
      <c r="A120" s="3" t="inlineStr">
        <is>
          <t>TC-DRW-017</t>
        </is>
      </c>
      <c r="B120" s="3" t="inlineStr">
        <is>
          <t>AC-ITH-27</t>
        </is>
      </c>
      <c r="C120" s="3" t="n">
        <v>4</v>
      </c>
      <c r="D120" s="3">
        <f>IF(B120="","",IFERROR(INDEX('Acceptance Criteria'!$D:$D,MATCH(B120,'Acceptance Criteria'!$A:$A,0)),IFERROR(INDEX('Delivery Standards'!$B:$B,MATCH(B120,'Delivery Standards'!$A:$A,0)),"⚠ Unknown AC ID")))</f>
        <v/>
      </c>
      <c r="E120" s="3">
        <f>IF(B120="","",IFERROR(INDEX('Acceptance Criteria'!$G:$G,MATCH(B120,'Acceptance Criteria'!$A:$A,0)),IFERROR(INDEX('Delivery Standards'!$C:$C,MATCH(B120,'Delivery Standards'!$A:$A,0)),"⚠ Unknown AC ID")))</f>
        <v/>
      </c>
      <c r="F120" s="3" t="inlineStr">
        <is>
          <t>Long comment</t>
        </is>
      </c>
      <c r="G120" s="3" t="inlineStr">
        <is>
          <t>Boundary</t>
        </is>
      </c>
      <c r="H120" s="3" t="inlineStr">
        <is>
          <t>Signed in as a technician (a row in ITH_UserRole with role Technician). The sample tickets from data-model.md exist.</t>
        </is>
      </c>
      <c r="I120" s="3" t="inlineStr">
        <is>
          <t>1. Add a comment of 1,000 characters.</t>
        </is>
      </c>
      <c r="J120" s="3" t="inlineStr">
        <is>
          <t>It saves and can be read in full by scrolling inside the comment.</t>
        </is>
      </c>
      <c r="K120" s="3" t="n"/>
      <c r="L120" s="3" t="inlineStr">
        <is>
          <t>Not Run</t>
        </is>
      </c>
      <c r="M120" s="3" t="n"/>
      <c r="N120" s="3" t="n"/>
    </row>
    <row r="121">
      <c r="A121" s="3" t="inlineStr">
        <is>
          <t>TC-DRW-018</t>
        </is>
      </c>
      <c r="B121" s="3" t="inlineStr">
        <is>
          <t>AC-ITH-28</t>
        </is>
      </c>
      <c r="C121" s="3" t="n">
        <v>1</v>
      </c>
      <c r="D121" s="3">
        <f>IF(B121="","",IFERROR(INDEX('Acceptance Criteria'!$D:$D,MATCH(B121,'Acceptance Criteria'!$A:$A,0)),IFERROR(INDEX('Delivery Standards'!$B:$B,MATCH(B121,'Delivery Standards'!$A:$A,0)),"⚠ Unknown AC ID")))</f>
        <v/>
      </c>
      <c r="E121" s="3">
        <f>IF(B121="","",IFERROR(INDEX('Acceptance Criteria'!$G:$G,MATCH(B121,'Acceptance Criteria'!$A:$A,0)),IFERROR(INDEX('Delivery Standards'!$C:$C,MATCH(B121,'Delivery Standards'!$A:$A,0)),"⚠ Unknown AC ID")))</f>
        <v/>
      </c>
      <c r="F121" s="3" t="inlineStr">
        <is>
          <t>Timeline order</t>
        </is>
      </c>
      <c r="G121" s="3" t="inlineStr">
        <is>
          <t>Positive</t>
        </is>
      </c>
      <c r="H121" s="3" t="inlineStr">
        <is>
          <t>Signed in as a technician (a row in ITH_UserRole with role Technician). The sample tickets from data-model.md exist.</t>
        </is>
      </c>
      <c r="I121" s="3" t="inlineStr">
        <is>
          <t>1. Open a ticket with several events.</t>
        </is>
      </c>
      <c r="J121" s="3" t="inlineStr">
        <is>
          <t>Activity is newest first, each with text and date and time.</t>
        </is>
      </c>
      <c r="K121" s="3" t="n"/>
      <c r="L121" s="3" t="inlineStr">
        <is>
          <t>Not Run</t>
        </is>
      </c>
      <c r="M121" s="3" t="n"/>
      <c r="N121" s="3" t="n"/>
    </row>
    <row r="122">
      <c r="A122" s="3" t="inlineStr">
        <is>
          <t>TC-DRW-019</t>
        </is>
      </c>
      <c r="B122" s="3" t="inlineStr">
        <is>
          <t>AC-ITH-28</t>
        </is>
      </c>
      <c r="C122" s="3" t="n">
        <v>2</v>
      </c>
      <c r="D122" s="3">
        <f>IF(B122="","",IFERROR(INDEX('Acceptance Criteria'!$D:$D,MATCH(B122,'Acceptance Criteria'!$A:$A,0)),IFERROR(INDEX('Delivery Standards'!$B:$B,MATCH(B122,'Delivery Standards'!$A:$A,0)),"⚠ Unknown AC ID")))</f>
        <v/>
      </c>
      <c r="E122" s="3">
        <f>IF(B122="","",IFERROR(INDEX('Acceptance Criteria'!$G:$G,MATCH(B122,'Acceptance Criteria'!$A:$A,0)),IFERROR(INDEX('Delivery Standards'!$C:$C,MATCH(B122,'Delivery Standards'!$A:$A,0)),"⚠ Unknown AC ID")))</f>
        <v/>
      </c>
      <c r="F122" s="3" t="inlineStr">
        <is>
          <t>Events recorded</t>
        </is>
      </c>
      <c r="G122" s="3" t="inlineStr">
        <is>
          <t>Positive</t>
        </is>
      </c>
      <c r="H122" s="3" t="inlineStr">
        <is>
          <t>Signed in as a technician (a row in ITH_UserRole with role Technician). The sample tickets from data-model.md exist.</t>
        </is>
      </c>
      <c r="I122" s="3" t="inlineStr">
        <is>
          <t>1. Create a ticket, assign it, change its status, edit it and comment on it.</t>
        </is>
      </c>
      <c r="J122" s="3" t="inlineStr">
        <is>
          <t>Each step added one entry.</t>
        </is>
      </c>
      <c r="K122" s="3" t="n"/>
      <c r="L122" s="3" t="inlineStr">
        <is>
          <t>Not Run</t>
        </is>
      </c>
      <c r="M122" s="3" t="n"/>
      <c r="N122" s="3" t="n"/>
    </row>
    <row r="123">
      <c r="A123" s="3" t="inlineStr">
        <is>
          <t>TC-DRW-020</t>
        </is>
      </c>
      <c r="B123" s="3" t="inlineStr">
        <is>
          <t>AC-ITH-28</t>
        </is>
      </c>
      <c r="C123" s="3" t="n">
        <v>4</v>
      </c>
      <c r="D123" s="3">
        <f>IF(B123="","",IFERROR(INDEX('Acceptance Criteria'!$D:$D,MATCH(B123,'Acceptance Criteria'!$A:$A,0)),IFERROR(INDEX('Delivery Standards'!$B:$B,MATCH(B123,'Delivery Standards'!$A:$A,0)),"⚠ Unknown AC ID")))</f>
        <v/>
      </c>
      <c r="E123" s="3">
        <f>IF(B123="","",IFERROR(INDEX('Acceptance Criteria'!$G:$G,MATCH(B123,'Acceptance Criteria'!$A:$A,0)),IFERROR(INDEX('Delivery Standards'!$C:$C,MATCH(B123,'Delivery Standards'!$A:$A,0)),"⚠ Unknown AC ID")))</f>
        <v/>
      </c>
      <c r="F123" s="3" t="inlineStr">
        <is>
          <t>Entries cannot be changed in the app</t>
        </is>
      </c>
      <c r="G123" s="3" t="inlineStr">
        <is>
          <t>Negative</t>
        </is>
      </c>
      <c r="H123" s="3" t="inlineStr">
        <is>
          <t>Signed in as a technician (a row in ITH_UserRole with role Technician). The sample tickets from data-model.md exist.</t>
        </is>
      </c>
      <c r="I123" s="3" t="inlineStr">
        <is>
          <t>1. Look for a way to edit or delete a timeline entry.</t>
        </is>
      </c>
      <c r="J123" s="3" t="inlineStr">
        <is>
          <t>There is none.</t>
        </is>
      </c>
      <c r="K123" s="3" t="n"/>
      <c r="L123" s="3" t="inlineStr">
        <is>
          <t>Not Run</t>
        </is>
      </c>
      <c r="M123" s="3" t="n"/>
      <c r="N123" s="3" t="n"/>
    </row>
    <row r="124">
      <c r="A124" s="3" t="inlineStr">
        <is>
          <t>TC-DRW-021</t>
        </is>
      </c>
      <c r="B124" s="3" t="inlineStr">
        <is>
          <t>AC-ITH-29</t>
        </is>
      </c>
      <c r="C124" s="3" t="n">
        <v>1</v>
      </c>
      <c r="D124" s="3">
        <f>IF(B124="","",IFERROR(INDEX('Acceptance Criteria'!$D:$D,MATCH(B124,'Acceptance Criteria'!$A:$A,0)),IFERROR(INDEX('Delivery Standards'!$B:$B,MATCH(B124,'Delivery Standards'!$A:$A,0)),"⚠ Unknown AC ID")))</f>
        <v/>
      </c>
      <c r="E124" s="3">
        <f>IF(B124="","",IFERROR(INDEX('Acceptance Criteria'!$G:$G,MATCH(B124,'Acceptance Criteria'!$A:$A,0)),IFERROR(INDEX('Delivery Standards'!$C:$C,MATCH(B124,'Delivery Standards'!$A:$A,0)),"⚠ Unknown AC ID")))</f>
        <v/>
      </c>
      <c r="F124" s="3" t="inlineStr">
        <is>
          <t>Resolve</t>
        </is>
      </c>
      <c r="G124" s="3" t="inlineStr">
        <is>
          <t>Positive</t>
        </is>
      </c>
      <c r="H124" s="3" t="inlineStr">
        <is>
          <t>Signed in as a technician (a row in ITH_UserRole with role Technician). The sample tickets from data-model.md exist.</t>
        </is>
      </c>
      <c r="I124" s="3" t="inlineStr">
        <is>
          <t>1. Open an Open ticket and select "Resolve".</t>
        </is>
      </c>
      <c r="J124" s="3" t="inlineStr">
        <is>
          <t>The status becomes Resolved at once with "&lt;ID&gt; marked Resolved".</t>
        </is>
      </c>
      <c r="K124" s="3" t="n"/>
      <c r="L124" s="3" t="inlineStr">
        <is>
          <t>Not Run</t>
        </is>
      </c>
      <c r="M124" s="3" t="n"/>
      <c r="N124" s="3" t="n"/>
    </row>
    <row r="125">
      <c r="A125" s="3" t="inlineStr">
        <is>
          <t>TC-DRW-022</t>
        </is>
      </c>
      <c r="B125" s="3" t="inlineStr">
        <is>
          <t>AC-ITH-29</t>
        </is>
      </c>
      <c r="C125" s="3" t="n">
        <v>1</v>
      </c>
      <c r="D125" s="3">
        <f>IF(B125="","",IFERROR(INDEX('Acceptance Criteria'!$D:$D,MATCH(B125,'Acceptance Criteria'!$A:$A,0)),IFERROR(INDEX('Delivery Standards'!$B:$B,MATCH(B125,'Delivery Standards'!$A:$A,0)),"⚠ Unknown AC ID")))</f>
        <v/>
      </c>
      <c r="E125" s="3">
        <f>IF(B125="","",IFERROR(INDEX('Acceptance Criteria'!$G:$G,MATCH(B125,'Acceptance Criteria'!$A:$A,0)),IFERROR(INDEX('Delivery Standards'!$C:$C,MATCH(B125,'Delivery Standards'!$A:$A,0)),"⚠ Unknown AC ID")))</f>
        <v/>
      </c>
      <c r="F125" s="3" t="inlineStr">
        <is>
          <t>Resolve is hidden when finished</t>
        </is>
      </c>
      <c r="G125" s="3" t="inlineStr">
        <is>
          <t>Edge</t>
        </is>
      </c>
      <c r="H125" s="3" t="inlineStr">
        <is>
          <t>Signed in as a technician (a row in ITH_UserRole with role Technician). The sample tickets from data-model.md exist.</t>
        </is>
      </c>
      <c r="I125" s="3" t="inlineStr">
        <is>
          <t>1. Open a Resolved ticket.</t>
        </is>
      </c>
      <c r="J125" s="3" t="inlineStr">
        <is>
          <t>"Resolve" is not shown.</t>
        </is>
      </c>
      <c r="K125" s="3" t="n"/>
      <c r="L125" s="3" t="inlineStr">
        <is>
          <t>Not Run</t>
        </is>
      </c>
      <c r="M125" s="3" t="n"/>
      <c r="N125" s="3" t="n"/>
    </row>
    <row r="126">
      <c r="A126" s="3" t="inlineStr">
        <is>
          <t>TC-DRW-023</t>
        </is>
      </c>
      <c r="B126" s="3" t="inlineStr">
        <is>
          <t>AC-ITH-29</t>
        </is>
      </c>
      <c r="C126" s="3" t="n">
        <v>2</v>
      </c>
      <c r="D126" s="3">
        <f>IF(B126="","",IFERROR(INDEX('Acceptance Criteria'!$D:$D,MATCH(B126,'Acceptance Criteria'!$A:$A,0)),IFERROR(INDEX('Delivery Standards'!$B:$B,MATCH(B126,'Delivery Standards'!$A:$A,0)),"⚠ Unknown AC ID")))</f>
        <v/>
      </c>
      <c r="E126" s="3">
        <f>IF(B126="","",IFERROR(INDEX('Acceptance Criteria'!$G:$G,MATCH(B126,'Acceptance Criteria'!$A:$A,0)),IFERROR(INDEX('Delivery Standards'!$C:$C,MATCH(B126,'Delivery Standards'!$A:$A,0)),"⚠ Unknown AC ID")))</f>
        <v/>
      </c>
      <c r="F126" s="3" t="inlineStr">
        <is>
          <t>Close ticket dialog</t>
        </is>
      </c>
      <c r="G126" s="3" t="inlineStr">
        <is>
          <t>Positive</t>
        </is>
      </c>
      <c r="H126" s="3" t="inlineStr">
        <is>
          <t>Signed in as a technician (a row in ITH_UserRole with role Technician). The sample tickets from data-model.md exist.</t>
        </is>
      </c>
      <c r="I126" s="3" t="inlineStr">
        <is>
          <t>1. Select "Close ticket".</t>
        </is>
      </c>
      <c r="J126" s="3" t="inlineStr">
        <is>
          <t>A dialog "Close &lt;ID&gt;?" with "Closed tickets are treated as complete. You can reopen it by changing the status." and buttons Cancel and Close ticket.</t>
        </is>
      </c>
      <c r="K126" s="3" t="n"/>
      <c r="L126" s="3" t="inlineStr">
        <is>
          <t>Not Run</t>
        </is>
      </c>
      <c r="M126" s="3" t="n"/>
      <c r="N126" s="3" t="n"/>
    </row>
    <row r="127">
      <c r="A127" s="3" t="inlineStr">
        <is>
          <t>TC-DRW-024</t>
        </is>
      </c>
      <c r="B127" s="3" t="inlineStr">
        <is>
          <t>AC-ITH-29</t>
        </is>
      </c>
      <c r="C127" s="3" t="n">
        <v>3</v>
      </c>
      <c r="D127" s="3">
        <f>IF(B127="","",IFERROR(INDEX('Acceptance Criteria'!$D:$D,MATCH(B127,'Acceptance Criteria'!$A:$A,0)),IFERROR(INDEX('Delivery Standards'!$B:$B,MATCH(B127,'Delivery Standards'!$A:$A,0)),"⚠ Unknown AC ID")))</f>
        <v/>
      </c>
      <c r="E127" s="3">
        <f>IF(B127="","",IFERROR(INDEX('Acceptance Criteria'!$G:$G,MATCH(B127,'Acceptance Criteria'!$A:$A,0)),IFERROR(INDEX('Delivery Standards'!$C:$C,MATCH(B127,'Delivery Standards'!$A:$A,0)),"⚠ Unknown AC ID")))</f>
        <v/>
      </c>
      <c r="F127" s="3" t="inlineStr">
        <is>
          <t>Confirm and cancel</t>
        </is>
      </c>
      <c r="G127" s="3" t="inlineStr">
        <is>
          <t>Positive</t>
        </is>
      </c>
      <c r="H127" s="3" t="inlineStr">
        <is>
          <t>Signed in as a technician (a row in ITH_UserRole with role Technician). The sample tickets from data-model.md exist.</t>
        </is>
      </c>
      <c r="I127" s="3" t="inlineStr">
        <is>
          <t>1. Select Cancel.
2. Select "Close ticket" again and confirm.</t>
        </is>
      </c>
      <c r="J127" s="3" t="inlineStr">
        <is>
          <t>Cancel changes nothing; confirming sets Closed with "&lt;ID&gt; marked Closed".</t>
        </is>
      </c>
      <c r="K127" s="3" t="n"/>
      <c r="L127" s="3" t="inlineStr">
        <is>
          <t>Not Run</t>
        </is>
      </c>
      <c r="M127" s="3" t="n"/>
      <c r="N127" s="3" t="n"/>
    </row>
    <row r="128">
      <c r="A128" s="3" t="inlineStr">
        <is>
          <t>TC-DRW-025</t>
        </is>
      </c>
      <c r="B128" s="3" t="inlineStr">
        <is>
          <t>AC-ITH-29</t>
        </is>
      </c>
      <c r="C128" s="3" t="n">
        <v>4</v>
      </c>
      <c r="D128" s="3">
        <f>IF(B128="","",IFERROR(INDEX('Acceptance Criteria'!$D:$D,MATCH(B128,'Acceptance Criteria'!$A:$A,0)),IFERROR(INDEX('Delivery Standards'!$B:$B,MATCH(B128,'Delivery Standards'!$A:$A,0)),"⚠ Unknown AC ID")))</f>
        <v/>
      </c>
      <c r="E128" s="3">
        <f>IF(B128="","",IFERROR(INDEX('Acceptance Criteria'!$G:$G,MATCH(B128,'Acceptance Criteria'!$A:$A,0)),IFERROR(INDEX('Delivery Standards'!$C:$C,MATCH(B128,'Delivery Standards'!$A:$A,0)),"⚠ Unknown AC ID")))</f>
        <v/>
      </c>
      <c r="F128" s="3" t="inlineStr">
        <is>
          <t>Reopen</t>
        </is>
      </c>
      <c r="G128" s="3" t="inlineStr">
        <is>
          <t>Positive</t>
        </is>
      </c>
      <c r="H128" s="3" t="inlineStr">
        <is>
          <t>Signed in as a technician (a row in ITH_UserRole with role Technician). The sample tickets from data-model.md exist.</t>
        </is>
      </c>
      <c r="I128" s="3" t="inlineStr">
        <is>
          <t>1. Change a Closed ticket's status to Open.</t>
        </is>
      </c>
      <c r="J128" s="3" t="inlineStr">
        <is>
          <t>It is Open again.</t>
        </is>
      </c>
      <c r="K128" s="3" t="n"/>
      <c r="L128" s="3" t="inlineStr">
        <is>
          <t>Not Run</t>
        </is>
      </c>
      <c r="M128" s="3" t="n"/>
      <c r="N128" s="3" t="n"/>
    </row>
    <row r="129">
      <c r="A129" s="3" t="inlineStr">
        <is>
          <t>TC-DRW-026</t>
        </is>
      </c>
      <c r="B129" s="3" t="inlineStr">
        <is>
          <t>AC-ITH-29</t>
        </is>
      </c>
      <c r="C129" s="3" t="n">
        <v>2</v>
      </c>
      <c r="D129" s="3">
        <f>IF(B129="","",IFERROR(INDEX('Acceptance Criteria'!$D:$D,MATCH(B129,'Acceptance Criteria'!$A:$A,0)),IFERROR(INDEX('Delivery Standards'!$B:$B,MATCH(B129,'Delivery Standards'!$A:$A,0)),"⚠ Unknown AC ID")))</f>
        <v/>
      </c>
      <c r="E129" s="3">
        <f>IF(B129="","",IFERROR(INDEX('Acceptance Criteria'!$G:$G,MATCH(B129,'Acceptance Criteria'!$A:$A,0)),IFERROR(INDEX('Delivery Standards'!$C:$C,MATCH(B129,'Delivery Standards'!$A:$A,0)),"⚠ Unknown AC ID")))</f>
        <v/>
      </c>
      <c r="F129" s="3" t="inlineStr">
        <is>
          <t>Requester cannot close</t>
        </is>
      </c>
      <c r="G129" s="3" t="inlineStr">
        <is>
          <t>Negative</t>
        </is>
      </c>
      <c r="H129" s="3" t="inlineStr">
        <is>
          <t>Signed in as a requester (a row in ITH_UserRole with role Requester, or no row). Tickets HD-1 and HD-2 were raised by this user, others by other people.</t>
        </is>
      </c>
      <c r="I129" s="3" t="inlineStr">
        <is>
          <t>1. Open your own ticket.</t>
        </is>
      </c>
      <c r="J129" s="3" t="inlineStr">
        <is>
          <t>Neither "Resolve" nor "Close ticket" is shown.</t>
        </is>
      </c>
      <c r="K129" s="3" t="n"/>
      <c r="L129" s="3" t="inlineStr">
        <is>
          <t>Not Run</t>
        </is>
      </c>
      <c r="M129" s="3" t="n"/>
      <c r="N129" s="3" t="n"/>
    </row>
    <row r="130">
      <c r="A130" s="3" t="inlineStr">
        <is>
          <t>TC-DRW-027</t>
        </is>
      </c>
      <c r="B130" s="3" t="inlineStr">
        <is>
          <t>AC-ITH-31</t>
        </is>
      </c>
      <c r="C130" s="3" t="n">
        <v>1</v>
      </c>
      <c r="D130" s="3">
        <f>IF(B130="","",IFERROR(INDEX('Acceptance Criteria'!$D:$D,MATCH(B130,'Acceptance Criteria'!$A:$A,0)),IFERROR(INDEX('Delivery Standards'!$B:$B,MATCH(B130,'Delivery Standards'!$A:$A,0)),"⚠ Unknown AC ID")))</f>
        <v/>
      </c>
      <c r="E130" s="3">
        <f>IF(B130="","",IFERROR(INDEX('Acceptance Criteria'!$G:$G,MATCH(B130,'Acceptance Criteria'!$A:$A,0)),IFERROR(INDEX('Delivery Standards'!$C:$C,MATCH(B130,'Delivery Standards'!$A:$A,0)),"⚠ Unknown AC ID")))</f>
        <v/>
      </c>
      <c r="F130" s="3" t="inlineStr">
        <is>
          <t>New ticket is unassigned</t>
        </is>
      </c>
      <c r="G130" s="3" t="inlineStr">
        <is>
          <t>Positive</t>
        </is>
      </c>
      <c r="H130" s="3" t="inlineStr">
        <is>
          <t>Signed in as a technician (a row in ITH_UserRole with role Technician). The sample tickets from data-model.md exist.</t>
        </is>
      </c>
      <c r="I130" s="3" t="inlineStr">
        <is>
          <t>1. Create a ticket without choosing an assignee.</t>
        </is>
      </c>
      <c r="J130" s="3" t="inlineStr">
        <is>
          <t>Unassigned.</t>
        </is>
      </c>
      <c r="K130" s="3" t="n"/>
      <c r="L130" s="3" t="inlineStr">
        <is>
          <t>Not Run</t>
        </is>
      </c>
      <c r="M130" s="3" t="n"/>
      <c r="N130" s="3" t="n"/>
    </row>
    <row r="131">
      <c r="A131" s="3" t="inlineStr">
        <is>
          <t>TC-DRW-028</t>
        </is>
      </c>
      <c r="B131" s="3" t="inlineStr">
        <is>
          <t>AC-ITH-31</t>
        </is>
      </c>
      <c r="C131" s="3" t="n">
        <v>3</v>
      </c>
      <c r="D131" s="3">
        <f>IF(B131="","",IFERROR(INDEX('Acceptance Criteria'!$D:$D,MATCH(B131,'Acceptance Criteria'!$A:$A,0)),IFERROR(INDEX('Delivery Standards'!$B:$B,MATCH(B131,'Delivery Standards'!$A:$A,0)),"⚠ Unknown AC ID")))</f>
        <v/>
      </c>
      <c r="E131" s="3">
        <f>IF(B131="","",IFERROR(INDEX('Acceptance Criteria'!$G:$G,MATCH(B131,'Acceptance Criteria'!$A:$A,0)),IFERROR(INDEX('Delivery Standards'!$C:$C,MATCH(B131,'Delivery Standards'!$A:$A,0)),"⚠ Unknown AC ID")))</f>
        <v/>
      </c>
      <c r="F131" s="3" t="inlineStr">
        <is>
          <t>Reassign and unassign</t>
        </is>
      </c>
      <c r="G131" s="3" t="inlineStr">
        <is>
          <t>Positive</t>
        </is>
      </c>
      <c r="H131" s="3" t="inlineStr">
        <is>
          <t>Signed in as a technician (a row in ITH_UserRole with role Technician). The sample tickets from data-model.md exist.</t>
        </is>
      </c>
      <c r="I131" s="3" t="inlineStr">
        <is>
          <t>1. Assign to Priya.
2. Reassign to Daniel.
3. Set Unassigned.</t>
        </is>
      </c>
      <c r="J131" s="3" t="inlineStr">
        <is>
          <t>Each saves and is logged.</t>
        </is>
      </c>
      <c r="K131" s="3" t="n"/>
      <c r="L131" s="3" t="inlineStr">
        <is>
          <t>Not Run</t>
        </is>
      </c>
      <c r="M131" s="3" t="n"/>
      <c r="N131" s="3" t="n"/>
    </row>
    <row r="132">
      <c r="A132" s="3" t="inlineStr">
        <is>
          <t>TC-DRW-029</t>
        </is>
      </c>
      <c r="B132" s="3" t="inlineStr">
        <is>
          <t>AC-ITH-31</t>
        </is>
      </c>
      <c r="C132" s="3" t="n">
        <v>4</v>
      </c>
      <c r="D132" s="3">
        <f>IF(B132="","",IFERROR(INDEX('Acceptance Criteria'!$D:$D,MATCH(B132,'Acceptance Criteria'!$A:$A,0)),IFERROR(INDEX('Delivery Standards'!$B:$B,MATCH(B132,'Delivery Standards'!$A:$A,0)),"⚠ Unknown AC ID")))</f>
        <v/>
      </c>
      <c r="E132" s="3">
        <f>IF(B132="","",IFERROR(INDEX('Acceptance Criteria'!$G:$G,MATCH(B132,'Acceptance Criteria'!$A:$A,0)),IFERROR(INDEX('Delivery Standards'!$C:$C,MATCH(B132,'Delivery Standards'!$A:$A,0)),"⚠ Unknown AC ID")))</f>
        <v/>
      </c>
      <c r="F132" s="3" t="inlineStr">
        <is>
          <t>Technician list from SharePoint</t>
        </is>
      </c>
      <c r="G132" s="3" t="inlineStr">
        <is>
          <t>Positive</t>
        </is>
      </c>
      <c r="H132" s="3" t="inlineStr">
        <is>
          <t>Signed in as an administrator (a row in ITH_UserRole with role Administrator).</t>
        </is>
      </c>
      <c r="I132" s="3" t="inlineStr">
        <is>
          <t>1. Add a technician in ITH_Technician.
2. Reopen the app and open the assignee list.</t>
        </is>
      </c>
      <c r="J132" s="3" t="inlineStr">
        <is>
          <t>The technician is offered.</t>
        </is>
      </c>
      <c r="K132" s="3" t="n"/>
      <c r="L132" s="3" t="inlineStr">
        <is>
          <t>Not Run</t>
        </is>
      </c>
      <c r="M132" s="3" t="n"/>
      <c r="N132" s="3" t="n"/>
    </row>
    <row r="133">
      <c r="A133" s="3" t="inlineStr">
        <is>
          <t>TC-DRW-030</t>
        </is>
      </c>
      <c r="B133" s="3" t="inlineStr">
        <is>
          <t>AC-ITH-43</t>
        </is>
      </c>
      <c r="C133" s="3" t="n">
        <v>1</v>
      </c>
      <c r="D133" s="3">
        <f>IF(B133="","",IFERROR(INDEX('Acceptance Criteria'!$D:$D,MATCH(B133,'Acceptance Criteria'!$A:$A,0)),IFERROR(INDEX('Delivery Standards'!$B:$B,MATCH(B133,'Delivery Standards'!$A:$A,0)),"⚠ Unknown AC ID")))</f>
        <v/>
      </c>
      <c r="E133" s="3">
        <f>IF(B133="","",IFERROR(INDEX('Acceptance Criteria'!$G:$G,MATCH(B133,'Acceptance Criteria'!$A:$A,0)),IFERROR(INDEX('Delivery Standards'!$C:$C,MATCH(B133,'Delivery Standards'!$A:$A,0)),"⚠ Unknown AC ID")))</f>
        <v/>
      </c>
      <c r="F133" s="3" t="inlineStr">
        <is>
          <t>Dialog behaviour</t>
        </is>
      </c>
      <c r="G133" s="3" t="inlineStr">
        <is>
          <t>Positive</t>
        </is>
      </c>
      <c r="H133" s="3" t="inlineStr">
        <is>
          <t>Signed in as a technician (a row in ITH_UserRole with role Technician). The sample tickets from data-model.md exist.</t>
        </is>
      </c>
      <c r="I133" s="3" t="inlineStr">
        <is>
          <t>1. Open the close dialog.
2. Select outside it.</t>
        </is>
      </c>
      <c r="J133" s="3" t="inlineStr">
        <is>
          <t>It closes and nothing changes.</t>
        </is>
      </c>
      <c r="K133" s="3" t="n"/>
      <c r="L133" s="3" t="inlineStr">
        <is>
          <t>Not Run</t>
        </is>
      </c>
      <c r="M133" s="3" t="n"/>
      <c r="N133" s="3" t="n"/>
    </row>
    <row r="134">
      <c r="A134" s="3" t="inlineStr">
        <is>
          <t>TC-DRW-031</t>
        </is>
      </c>
      <c r="B134" s="3" t="inlineStr">
        <is>
          <t>AC-ITH-43</t>
        </is>
      </c>
      <c r="C134" s="3" t="n">
        <v>3</v>
      </c>
      <c r="D134" s="3">
        <f>IF(B134="","",IFERROR(INDEX('Acceptance Criteria'!$D:$D,MATCH(B134,'Acceptance Criteria'!$A:$A,0)),IFERROR(INDEX('Delivery Standards'!$B:$B,MATCH(B134,'Delivery Standards'!$A:$A,0)),"⚠ Unknown AC ID")))</f>
        <v/>
      </c>
      <c r="E134" s="3">
        <f>IF(B134="","",IFERROR(INDEX('Acceptance Criteria'!$G:$G,MATCH(B134,'Acceptance Criteria'!$A:$A,0)),IFERROR(INDEX('Delivery Standards'!$C:$C,MATCH(B134,'Delivery Standards'!$A:$A,0)),"⚠ Unknown AC ID")))</f>
        <v/>
      </c>
      <c r="F134" s="3" t="inlineStr">
        <is>
          <t>Messages</t>
        </is>
      </c>
      <c r="G134" s="3" t="inlineStr">
        <is>
          <t>Positive</t>
        </is>
      </c>
      <c r="H134" s="3" t="inlineStr">
        <is>
          <t>Signed in as a technician (a row in ITH_UserRole with role Technician). The sample tickets from data-model.md exist.</t>
        </is>
      </c>
      <c r="I134" s="3" t="inlineStr">
        <is>
          <t>1. Trigger a success and an error message.</t>
        </is>
      </c>
      <c r="J134" s="3" t="inlineStr">
        <is>
          <t>They show, stack when several are shown, and go away by themselves; errors are red.</t>
        </is>
      </c>
      <c r="K134" s="3" t="n"/>
      <c r="L134" s="3" t="inlineStr">
        <is>
          <t>Not Run</t>
        </is>
      </c>
      <c r="M134" s="3" t="n"/>
      <c r="N134" s="3" t="n"/>
    </row>
    <row r="135">
      <c r="A135" s="3" t="inlineStr">
        <is>
          <t>TC-DRW-032</t>
        </is>
      </c>
      <c r="B135" s="3" t="inlineStr">
        <is>
          <t>AC-ITH-43</t>
        </is>
      </c>
      <c r="C135" s="3" t="n">
        <v>5</v>
      </c>
      <c r="D135" s="3">
        <f>IF(B135="","",IFERROR(INDEX('Acceptance Criteria'!$D:$D,MATCH(B135,'Acceptance Criteria'!$A:$A,0)),IFERROR(INDEX('Delivery Standards'!$B:$B,MATCH(B135,'Delivery Standards'!$A:$A,0)),"⚠ Unknown AC ID")))</f>
        <v/>
      </c>
      <c r="E135" s="3">
        <f>IF(B135="","",IFERROR(INDEX('Acceptance Criteria'!$G:$G,MATCH(B135,'Acceptance Criteria'!$A:$A,0)),IFERROR(INDEX('Delivery Standards'!$C:$C,MATCH(B135,'Delivery Standards'!$A:$A,0)),"⚠ Unknown AC ID")))</f>
        <v/>
      </c>
      <c r="F135" s="3" t="inlineStr">
        <is>
          <t>Data refreshes behind dialogs</t>
        </is>
      </c>
      <c r="G135" s="3" t="inlineStr">
        <is>
          <t>Positive</t>
        </is>
      </c>
      <c r="H135" s="3" t="inlineStr">
        <is>
          <t>Signed in as a technician (a row in ITH_UserRole with role Technician). The sample tickets from data-model.md exist.</t>
        </is>
      </c>
      <c r="I135" s="3" t="inlineStr">
        <is>
          <t>1. Change a status in the panel.</t>
        </is>
      </c>
      <c r="J135" s="3" t="inlineStr">
        <is>
          <t>The list behind it shows the new status.</t>
        </is>
      </c>
      <c r="K135" s="3" t="n"/>
      <c r="L135" s="3" t="inlineStr">
        <is>
          <t>Not Run</t>
        </is>
      </c>
      <c r="M135" s="3" t="n"/>
      <c r="N135" s="3" t="n"/>
    </row>
    <row r="136">
      <c r="A136" s="3" t="inlineStr">
        <is>
          <t>TC-KB-001</t>
        </is>
      </c>
      <c r="B136" s="3" t="inlineStr">
        <is>
          <t>AC-ITH-35</t>
        </is>
      </c>
      <c r="C136" s="3" t="n">
        <v>1</v>
      </c>
      <c r="D136" s="3">
        <f>IF(B136="","",IFERROR(INDEX('Acceptance Criteria'!$D:$D,MATCH(B136,'Acceptance Criteria'!$A:$A,0)),IFERROR(INDEX('Delivery Standards'!$B:$B,MATCH(B136,'Delivery Standards'!$A:$A,0)),"⚠ Unknown AC ID")))</f>
        <v/>
      </c>
      <c r="E136" s="3">
        <f>IF(B136="","",IFERROR(INDEX('Acceptance Criteria'!$G:$G,MATCH(B136,'Acceptance Criteria'!$A:$A,0)),IFERROR(INDEX('Delivery Standards'!$C:$C,MATCH(B136,'Delivery Standards'!$A:$A,0)),"⚠ Unknown AC ID")))</f>
        <v/>
      </c>
      <c r="F136" s="3" t="inlineStr">
        <is>
          <t>Heading</t>
        </is>
      </c>
      <c r="G136" s="3" t="inlineStr">
        <is>
          <t>Positive</t>
        </is>
      </c>
      <c r="H136" s="3" t="inlineStr">
        <is>
          <t>The app is published and shared with the tester.</t>
        </is>
      </c>
      <c r="I136" s="3" t="inlineStr">
        <is>
          <t>1. Open Knowledge base.</t>
        </is>
      </c>
      <c r="J136" s="3" t="inlineStr">
        <is>
          <t>"Knowledge base" and "Self-service guides for common issues."</t>
        </is>
      </c>
      <c r="K136" s="3" t="n"/>
      <c r="L136" s="3" t="inlineStr">
        <is>
          <t>Not Run</t>
        </is>
      </c>
      <c r="M136" s="3" t="n"/>
      <c r="N136" s="3" t="n"/>
    </row>
    <row r="137">
      <c r="A137" s="3" t="inlineStr">
        <is>
          <t>TC-KB-002</t>
        </is>
      </c>
      <c r="B137" s="3" t="inlineStr">
        <is>
          <t>AC-ITH-35</t>
        </is>
      </c>
      <c r="C137" s="3" t="n">
        <v>2</v>
      </c>
      <c r="D137" s="3">
        <f>IF(B137="","",IFERROR(INDEX('Acceptance Criteria'!$D:$D,MATCH(B137,'Acceptance Criteria'!$A:$A,0)),IFERROR(INDEX('Delivery Standards'!$B:$B,MATCH(B137,'Delivery Standards'!$A:$A,0)),"⚠ Unknown AC ID")))</f>
        <v/>
      </c>
      <c r="E137" s="3">
        <f>IF(B137="","",IFERROR(INDEX('Acceptance Criteria'!$G:$G,MATCH(B137,'Acceptance Criteria'!$A:$A,0)),IFERROR(INDEX('Delivery Standards'!$C:$C,MATCH(B137,'Delivery Standards'!$A:$A,0)),"⚠ Unknown AC ID")))</f>
        <v/>
      </c>
      <c r="F137" s="3" t="inlineStr">
        <is>
          <t>Cards</t>
        </is>
      </c>
      <c r="G137" s="3" t="inlineStr">
        <is>
          <t>Positive</t>
        </is>
      </c>
      <c r="H137" s="3" t="inlineStr">
        <is>
          <t>The app is published and shared with the tester.</t>
        </is>
      </c>
      <c r="I137" s="3" t="inlineStr">
        <is>
          <t>1. Look at the grid.</t>
        </is>
      </c>
      <c r="J137" s="3" t="inlineStr">
        <is>
          <t>Each card shows its category, title and short description.</t>
        </is>
      </c>
      <c r="K137" s="3" t="n"/>
      <c r="L137" s="3" t="inlineStr">
        <is>
          <t>Not Run</t>
        </is>
      </c>
      <c r="M137" s="3" t="n"/>
      <c r="N137" s="3" t="n"/>
    </row>
    <row r="138">
      <c r="A138" s="3" t="inlineStr">
        <is>
          <t>TC-KB-003</t>
        </is>
      </c>
      <c r="B138" s="3" t="inlineStr">
        <is>
          <t>AC-ITH-35</t>
        </is>
      </c>
      <c r="C138" s="3" t="n">
        <v>3</v>
      </c>
      <c r="D138" s="3">
        <f>IF(B138="","",IFERROR(INDEX('Acceptance Criteria'!$D:$D,MATCH(B138,'Acceptance Criteria'!$A:$A,0)),IFERROR(INDEX('Delivery Standards'!$B:$B,MATCH(B138,'Delivery Standards'!$A:$A,0)),"⚠ Unknown AC ID")))</f>
        <v/>
      </c>
      <c r="E138" s="3">
        <f>IF(B138="","",IFERROR(INDEX('Acceptance Criteria'!$G:$G,MATCH(B138,'Acceptance Criteria'!$A:$A,0)),IFERROR(INDEX('Delivery Standards'!$C:$C,MATCH(B138,'Delivery Standards'!$A:$A,0)),"⚠ Unknown AC ID")))</f>
        <v/>
      </c>
      <c r="F138" s="3" t="inlineStr">
        <is>
          <t>Search</t>
        </is>
      </c>
      <c r="G138" s="3" t="inlineStr">
        <is>
          <t>Positive</t>
        </is>
      </c>
      <c r="H138" s="3" t="inlineStr">
        <is>
          <t>The app is published and shared with the tester.</t>
        </is>
      </c>
      <c r="I138" s="3" t="inlineStr">
        <is>
          <t>1. Type "vpn" in "Search articles".</t>
        </is>
      </c>
      <c r="J138" s="3" t="inlineStr">
        <is>
          <t>Only articles whose title or description contain "vpn".</t>
        </is>
      </c>
      <c r="K138" s="3" t="n"/>
      <c r="L138" s="3" t="inlineStr">
        <is>
          <t>Not Run</t>
        </is>
      </c>
      <c r="M138" s="3" t="n"/>
      <c r="N138" s="3" t="n"/>
    </row>
    <row r="139">
      <c r="A139" s="3" t="inlineStr">
        <is>
          <t>TC-KB-004</t>
        </is>
      </c>
      <c r="B139" s="3" t="inlineStr">
        <is>
          <t>AC-ITH-35</t>
        </is>
      </c>
      <c r="C139" s="3" t="n">
        <v>4</v>
      </c>
      <c r="D139" s="3">
        <f>IF(B139="","",IFERROR(INDEX('Acceptance Criteria'!$D:$D,MATCH(B139,'Acceptance Criteria'!$A:$A,0)),IFERROR(INDEX('Delivery Standards'!$B:$B,MATCH(B139,'Delivery Standards'!$A:$A,0)),"⚠ Unknown AC ID")))</f>
        <v/>
      </c>
      <c r="E139" s="3">
        <f>IF(B139="","",IFERROR(INDEX('Acceptance Criteria'!$G:$G,MATCH(B139,'Acceptance Criteria'!$A:$A,0)),IFERROR(INDEX('Delivery Standards'!$C:$C,MATCH(B139,'Delivery Standards'!$A:$A,0)),"⚠ Unknown AC ID")))</f>
        <v/>
      </c>
      <c r="F139" s="3" t="inlineStr">
        <is>
          <t>Chips</t>
        </is>
      </c>
      <c r="G139" s="3" t="inlineStr">
        <is>
          <t>Positive</t>
        </is>
      </c>
      <c r="H139" s="3" t="inlineStr">
        <is>
          <t>The app is published and shared with the tester.</t>
        </is>
      </c>
      <c r="I139" s="3" t="inlineStr">
        <is>
          <t>1. Select the chip "Network".
2. Select "All".</t>
        </is>
      </c>
      <c r="J139" s="3" t="inlineStr">
        <is>
          <t>Only Network articles, then all.</t>
        </is>
      </c>
      <c r="K139" s="3" t="n"/>
      <c r="L139" s="3" t="inlineStr">
        <is>
          <t>Not Run</t>
        </is>
      </c>
      <c r="M139" s="3" t="n"/>
      <c r="N139" s="3" t="n"/>
    </row>
    <row r="140">
      <c r="A140" s="3" t="inlineStr">
        <is>
          <t>TC-KB-005</t>
        </is>
      </c>
      <c r="B140" s="3" t="inlineStr">
        <is>
          <t>AC-ITH-35</t>
        </is>
      </c>
      <c r="C140" s="3" t="n">
        <v>5</v>
      </c>
      <c r="D140" s="3">
        <f>IF(B140="","",IFERROR(INDEX('Acceptance Criteria'!$D:$D,MATCH(B140,'Acceptance Criteria'!$A:$A,0)),IFERROR(INDEX('Delivery Standards'!$B:$B,MATCH(B140,'Delivery Standards'!$A:$A,0)),"⚠ Unknown AC ID")))</f>
        <v/>
      </c>
      <c r="E140" s="3">
        <f>IF(B140="","",IFERROR(INDEX('Acceptance Criteria'!$G:$G,MATCH(B140,'Acceptance Criteria'!$A:$A,0)),IFERROR(INDEX('Delivery Standards'!$C:$C,MATCH(B140,'Delivery Standards'!$A:$A,0)),"⚠ Unknown AC ID")))</f>
        <v/>
      </c>
      <c r="F140" s="3" t="inlineStr">
        <is>
          <t>No match</t>
        </is>
      </c>
      <c r="G140" s="3" t="inlineStr">
        <is>
          <t>Edge</t>
        </is>
      </c>
      <c r="H140" s="3" t="inlineStr">
        <is>
          <t>The app is published and shared with the tester.</t>
        </is>
      </c>
      <c r="I140" s="3" t="inlineStr">
        <is>
          <t>1. Search for "zzzz".</t>
        </is>
      </c>
      <c r="J140" s="3" t="inlineStr">
        <is>
          <t>No articles match "zzzz".</t>
        </is>
      </c>
      <c r="K140" s="3" t="n"/>
      <c r="L140" s="3" t="inlineStr">
        <is>
          <t>Not Run</t>
        </is>
      </c>
      <c r="M140" s="3" t="n"/>
      <c r="N140" s="3" t="n"/>
    </row>
    <row r="141">
      <c r="A141" s="3" t="inlineStr">
        <is>
          <t>TC-KB-006</t>
        </is>
      </c>
      <c r="B141" s="3" t="inlineStr">
        <is>
          <t>AC-ITH-35</t>
        </is>
      </c>
      <c r="C141" s="3" t="n">
        <v>6</v>
      </c>
      <c r="D141" s="3">
        <f>IF(B141="","",IFERROR(INDEX('Acceptance Criteria'!$D:$D,MATCH(B141,'Acceptance Criteria'!$A:$A,0)),IFERROR(INDEX('Delivery Standards'!$B:$B,MATCH(B141,'Delivery Standards'!$A:$A,0)),"⚠ Unknown AC ID")))</f>
        <v/>
      </c>
      <c r="E141" s="3">
        <f>IF(B141="","",IFERROR(INDEX('Acceptance Criteria'!$G:$G,MATCH(B141,'Acceptance Criteria'!$A:$A,0)),IFERROR(INDEX('Delivery Standards'!$C:$C,MATCH(B141,'Delivery Standards'!$A:$A,0)),"⚠ Unknown AC ID")))</f>
        <v/>
      </c>
      <c r="F141" s="3" t="inlineStr">
        <is>
          <t>Articles are maintained in SharePoint</t>
        </is>
      </c>
      <c r="G141" s="3" t="inlineStr">
        <is>
          <t>Positive</t>
        </is>
      </c>
      <c r="H141" s="3" t="inlineStr">
        <is>
          <t>Signed in as an administrator (a row in ITH_UserRole with role Administrator).</t>
        </is>
      </c>
      <c r="I141" s="3" t="inlineStr">
        <is>
          <t>1. Add an article in ITH_Article.
2. Reopen the app.</t>
        </is>
      </c>
      <c r="J141" s="3" t="inlineStr">
        <is>
          <t>It appears with no admin screen involved.</t>
        </is>
      </c>
      <c r="K141" s="3" t="n"/>
      <c r="L141" s="3" t="inlineStr">
        <is>
          <t>Not Run</t>
        </is>
      </c>
      <c r="M141" s="3" t="n"/>
      <c r="N141" s="3" t="n"/>
    </row>
    <row r="142">
      <c r="A142" s="3" t="inlineStr">
        <is>
          <t>TC-KB-007</t>
        </is>
      </c>
      <c r="B142" s="3" t="inlineStr">
        <is>
          <t>AC-ITH-36</t>
        </is>
      </c>
      <c r="C142" s="3" t="n">
        <v>1</v>
      </c>
      <c r="D142" s="3">
        <f>IF(B142="","",IFERROR(INDEX('Acceptance Criteria'!$D:$D,MATCH(B142,'Acceptance Criteria'!$A:$A,0)),IFERROR(INDEX('Delivery Standards'!$B:$B,MATCH(B142,'Delivery Standards'!$A:$A,0)),"⚠ Unknown AC ID")))</f>
        <v/>
      </c>
      <c r="E142" s="3">
        <f>IF(B142="","",IFERROR(INDEX('Acceptance Criteria'!$G:$G,MATCH(B142,'Acceptance Criteria'!$A:$A,0)),IFERROR(INDEX('Delivery Standards'!$C:$C,MATCH(B142,'Delivery Standards'!$A:$A,0)),"⚠ Unknown AC ID")))</f>
        <v/>
      </c>
      <c r="F142" s="3" t="inlineStr">
        <is>
          <t>Open an article</t>
        </is>
      </c>
      <c r="G142" s="3" t="inlineStr">
        <is>
          <t>Positive</t>
        </is>
      </c>
      <c r="H142" s="3" t="inlineStr">
        <is>
          <t>The app is published and shared with the tester.</t>
        </is>
      </c>
      <c r="I142" s="3" t="inlineStr">
        <is>
          <t>1. Select a card.</t>
        </is>
      </c>
      <c r="J142" s="3" t="inlineStr">
        <is>
          <t>"Back to articles", the title, "&lt;category&gt; · &lt;description&gt;" and the numbered steps.</t>
        </is>
      </c>
      <c r="K142" s="3" t="n"/>
      <c r="L142" s="3" t="inlineStr">
        <is>
          <t>Not Run</t>
        </is>
      </c>
      <c r="M142" s="3" t="n"/>
      <c r="N142" s="3" t="n"/>
    </row>
    <row r="143">
      <c r="A143" s="3" t="inlineStr">
        <is>
          <t>TC-KB-008</t>
        </is>
      </c>
      <c r="B143" s="3" t="inlineStr">
        <is>
          <t>AC-ITH-36</t>
        </is>
      </c>
      <c r="C143" s="3" t="n">
        <v>2</v>
      </c>
      <c r="D143" s="3">
        <f>IF(B143="","",IFERROR(INDEX('Acceptance Criteria'!$D:$D,MATCH(B143,'Acceptance Criteria'!$A:$A,0)),IFERROR(INDEX('Delivery Standards'!$B:$B,MATCH(B143,'Delivery Standards'!$A:$A,0)),"⚠ Unknown AC ID")))</f>
        <v/>
      </c>
      <c r="E143" s="3">
        <f>IF(B143="","",IFERROR(INDEX('Acceptance Criteria'!$G:$G,MATCH(B143,'Acceptance Criteria'!$A:$A,0)),IFERROR(INDEX('Delivery Standards'!$C:$C,MATCH(B143,'Delivery Standards'!$A:$A,0)),"⚠ Unknown AC ID")))</f>
        <v/>
      </c>
      <c r="F143" s="3" t="inlineStr">
        <is>
          <t>Back keeps the search</t>
        </is>
      </c>
      <c r="G143" s="3" t="inlineStr">
        <is>
          <t>Edge</t>
        </is>
      </c>
      <c r="H143" s="3" t="inlineStr">
        <is>
          <t>The app is published and shared with the tester.</t>
        </is>
      </c>
      <c r="I143" s="3" t="inlineStr">
        <is>
          <t>1. Search "vpn", open an article and select "Back to articles".</t>
        </is>
      </c>
      <c r="J143" s="3" t="inlineStr">
        <is>
          <t>The list still shows the "vpn" search.</t>
        </is>
      </c>
      <c r="K143" s="3" t="n"/>
      <c r="L143" s="3" t="inlineStr">
        <is>
          <t>Not Run</t>
        </is>
      </c>
      <c r="M143" s="3" t="n"/>
      <c r="N143" s="3" t="n"/>
    </row>
    <row r="144">
      <c r="A144" s="3" t="inlineStr">
        <is>
          <t>TC-KB-009</t>
        </is>
      </c>
      <c r="B144" s="3" t="inlineStr">
        <is>
          <t>AC-ITH-36</t>
        </is>
      </c>
      <c r="C144" s="3" t="n">
        <v>3</v>
      </c>
      <c r="D144" s="3">
        <f>IF(B144="","",IFERROR(INDEX('Acceptance Criteria'!$D:$D,MATCH(B144,'Acceptance Criteria'!$A:$A,0)),IFERROR(INDEX('Delivery Standards'!$B:$B,MATCH(B144,'Delivery Standards'!$A:$A,0)),"⚠ Unknown AC ID")))</f>
        <v/>
      </c>
      <c r="E144" s="3">
        <f>IF(B144="","",IFERROR(INDEX('Acceptance Criteria'!$G:$G,MATCH(B144,'Acceptance Criteria'!$A:$A,0)),IFERROR(INDEX('Delivery Standards'!$C:$C,MATCH(B144,'Delivery Standards'!$A:$A,0)),"⚠ Unknown AC ID")))</f>
        <v/>
      </c>
      <c r="F144" s="3" t="inlineStr">
        <is>
          <t>Still stuck</t>
        </is>
      </c>
      <c r="G144" s="3" t="inlineStr">
        <is>
          <t>Positive</t>
        </is>
      </c>
      <c r="H144" s="3" t="inlineStr">
        <is>
          <t>The app is published and shared with the tester.</t>
        </is>
      </c>
      <c r="I144" s="3" t="inlineStr">
        <is>
          <t>1. Select "Create ticket" on an article.</t>
        </is>
      </c>
      <c r="J144" s="3" t="inlineStr">
        <is>
          <t>The form opens with the subject set to the article's title.</t>
        </is>
      </c>
      <c r="K144" s="3" t="n"/>
      <c r="L144" s="3" t="inlineStr">
        <is>
          <t>Not Run</t>
        </is>
      </c>
      <c r="M144" s="3" t="n"/>
      <c r="N144" s="3" t="n"/>
    </row>
    <row r="145">
      <c r="A145" s="3" t="inlineStr">
        <is>
          <t>TC-KB-010</t>
        </is>
      </c>
      <c r="B145" s="3" t="inlineStr">
        <is>
          <t>AC-ITH-36</t>
        </is>
      </c>
      <c r="C145" s="3" t="n">
        <v>4</v>
      </c>
      <c r="D145" s="3">
        <f>IF(B145="","",IFERROR(INDEX('Acceptance Criteria'!$D:$D,MATCH(B145,'Acceptance Criteria'!$A:$A,0)),IFERROR(INDEX('Delivery Standards'!$B:$B,MATCH(B145,'Delivery Standards'!$A:$A,0)),"⚠ Unknown AC ID")))</f>
        <v/>
      </c>
      <c r="E145" s="3">
        <f>IF(B145="","",IFERROR(INDEX('Acceptance Criteria'!$G:$G,MATCH(B145,'Acceptance Criteria'!$A:$A,0)),IFERROR(INDEX('Delivery Standards'!$C:$C,MATCH(B145,'Delivery Standards'!$A:$A,0)),"⚠ Unknown AC ID")))</f>
        <v/>
      </c>
      <c r="F145" s="3" t="inlineStr">
        <is>
          <t>Breadcrumb</t>
        </is>
      </c>
      <c r="G145" s="3" t="inlineStr">
        <is>
          <t>Positive</t>
        </is>
      </c>
      <c r="H145" s="3" t="inlineStr">
        <is>
          <t>The app is published and shared with the tester.</t>
        </is>
      </c>
      <c r="I145" s="3" t="inlineStr">
        <is>
          <t>1. Open an article.</t>
        </is>
      </c>
      <c r="J145" s="3" t="inlineStr">
        <is>
          <t>"Helpdesk / Knowledge base / &lt;title&gt;".</t>
        </is>
      </c>
      <c r="K145" s="3" t="n"/>
      <c r="L145" s="3" t="inlineStr">
        <is>
          <t>Not Run</t>
        </is>
      </c>
      <c r="M145" s="3" t="n"/>
      <c r="N145" s="3" t="n"/>
    </row>
    <row r="146">
      <c r="A146" s="3" t="inlineStr">
        <is>
          <t>TC-SET-001</t>
        </is>
      </c>
      <c r="B146" s="3" t="inlineStr">
        <is>
          <t>AC-ITH-37</t>
        </is>
      </c>
      <c r="C146" s="3" t="n">
        <v>2</v>
      </c>
      <c r="D146" s="3">
        <f>IF(B146="","",IFERROR(INDEX('Acceptance Criteria'!$D:$D,MATCH(B146,'Acceptance Criteria'!$A:$A,0)),IFERROR(INDEX('Delivery Standards'!$B:$B,MATCH(B146,'Delivery Standards'!$A:$A,0)),"⚠ Unknown AC ID")))</f>
        <v/>
      </c>
      <c r="E146" s="3">
        <f>IF(B146="","",IFERROR(INDEX('Acceptance Criteria'!$G:$G,MATCH(B146,'Acceptance Criteria'!$A:$A,0)),IFERROR(INDEX('Delivery Standards'!$C:$C,MATCH(B146,'Delivery Standards'!$A:$A,0)),"⚠ Unknown AC ID")))</f>
        <v/>
      </c>
      <c r="F146" s="3" t="inlineStr">
        <is>
          <t>Current user card</t>
        </is>
      </c>
      <c r="G146" s="3" t="inlineStr">
        <is>
          <t>Positive</t>
        </is>
      </c>
      <c r="H146" s="3" t="inlineStr">
        <is>
          <t>Signed in as a technician (a row in ITH_UserRole with role Technician). The sample tickets from data-model.md exist.</t>
        </is>
      </c>
      <c r="I146" s="3" t="inlineStr">
        <is>
          <t>1. Open Settings.</t>
        </is>
      </c>
      <c r="J146" s="3" t="inlineStr">
        <is>
          <t>Avatar, full name, email and "Role: Technician".</t>
        </is>
      </c>
      <c r="K146" s="3" t="n"/>
      <c r="L146" s="3" t="inlineStr">
        <is>
          <t>Not Run</t>
        </is>
      </c>
      <c r="M146" s="3" t="n"/>
      <c r="N146" s="3" t="n"/>
    </row>
    <row r="147">
      <c r="A147" s="3" t="inlineStr">
        <is>
          <t>TC-SET-002</t>
        </is>
      </c>
      <c r="B147" s="3" t="inlineStr">
        <is>
          <t>AC-ITH-37</t>
        </is>
      </c>
      <c r="C147" s="3" t="n">
        <v>3</v>
      </c>
      <c r="D147" s="3">
        <f>IF(B147="","",IFERROR(INDEX('Acceptance Criteria'!$D:$D,MATCH(B147,'Acceptance Criteria'!$A:$A,0)),IFERROR(INDEX('Delivery Standards'!$B:$B,MATCH(B147,'Delivery Standards'!$A:$A,0)),"⚠ Unknown AC ID")))</f>
        <v/>
      </c>
      <c r="E147" s="3">
        <f>IF(B147="","",IFERROR(INDEX('Acceptance Criteria'!$G:$G,MATCH(B147,'Acceptance Criteria'!$A:$A,0)),IFERROR(INDEX('Delivery Standards'!$C:$C,MATCH(B147,'Delivery Standards'!$A:$A,0)),"⚠ Unknown AC ID")))</f>
        <v/>
      </c>
      <c r="F147" s="3" t="inlineStr">
        <is>
          <t>Categories</t>
        </is>
      </c>
      <c r="G147" s="3" t="inlineStr">
        <is>
          <t>Positive</t>
        </is>
      </c>
      <c r="H147" s="3" t="inlineStr">
        <is>
          <t>The app is published and shared with the tester.</t>
        </is>
      </c>
      <c r="I147" s="3" t="inlineStr">
        <is>
          <t>1. Read "Ticket categories".</t>
        </is>
      </c>
      <c r="J147" s="3" t="inlineStr">
        <is>
          <t>A chip for each active category.</t>
        </is>
      </c>
      <c r="K147" s="3" t="n"/>
      <c r="L147" s="3" t="inlineStr">
        <is>
          <t>Not Run</t>
        </is>
      </c>
      <c r="M147" s="3" t="n"/>
      <c r="N147" s="3" t="n"/>
    </row>
    <row r="148">
      <c r="A148" s="3" t="inlineStr">
        <is>
          <t>TC-SET-003</t>
        </is>
      </c>
      <c r="B148" s="3" t="inlineStr">
        <is>
          <t>AC-ITH-37</t>
        </is>
      </c>
      <c r="C148" s="3" t="n">
        <v>4</v>
      </c>
      <c r="D148" s="3">
        <f>IF(B148="","",IFERROR(INDEX('Acceptance Criteria'!$D:$D,MATCH(B148,'Acceptance Criteria'!$A:$A,0)),IFERROR(INDEX('Delivery Standards'!$B:$B,MATCH(B148,'Delivery Standards'!$A:$A,0)),"⚠ Unknown AC ID")))</f>
        <v/>
      </c>
      <c r="E148" s="3">
        <f>IF(B148="","",IFERROR(INDEX('Acceptance Criteria'!$G:$G,MATCH(B148,'Acceptance Criteria'!$A:$A,0)),IFERROR(INDEX('Delivery Standards'!$C:$C,MATCH(B148,'Delivery Standards'!$A:$A,0)),"⚠ Unknown AC ID")))</f>
        <v/>
      </c>
      <c r="F148" s="3" t="inlineStr">
        <is>
          <t>Definitions</t>
        </is>
      </c>
      <c r="G148" s="3" t="inlineStr">
        <is>
          <t>Positive</t>
        </is>
      </c>
      <c r="H148" s="3" t="inlineStr">
        <is>
          <t>The app is published and shared with the tester.</t>
        </is>
      </c>
      <c r="I148" s="3" t="inlineStr">
        <is>
          <t>1. Read the priority and status definitions.</t>
        </is>
      </c>
      <c r="J148" s="3" t="inlineStr">
        <is>
          <t>Each badge has its definition, e.g. High: "Blocks a person or small team. Target: 4 hours."</t>
        </is>
      </c>
      <c r="K148" s="3" t="n"/>
      <c r="L148" s="3" t="inlineStr">
        <is>
          <t>Not Run</t>
        </is>
      </c>
      <c r="M148" s="3" t="n"/>
      <c r="N148" s="3" t="n"/>
    </row>
    <row r="149">
      <c r="A149" s="3" t="inlineStr">
        <is>
          <t>TC-SET-004</t>
        </is>
      </c>
      <c r="B149" s="3" t="inlineStr">
        <is>
          <t>AC-ITH-37</t>
        </is>
      </c>
      <c r="C149" s="3" t="n">
        <v>5</v>
      </c>
      <c r="D149" s="3">
        <f>IF(B149="","",IFERROR(INDEX('Acceptance Criteria'!$D:$D,MATCH(B149,'Acceptance Criteria'!$A:$A,0)),IFERROR(INDEX('Delivery Standards'!$B:$B,MATCH(B149,'Delivery Standards'!$A:$A,0)),"⚠ Unknown AC ID")))</f>
        <v/>
      </c>
      <c r="E149" s="3">
        <f>IF(B149="","",IFERROR(INDEX('Acceptance Criteria'!$G:$G,MATCH(B149,'Acceptance Criteria'!$A:$A,0)),IFERROR(INDEX('Delivery Standards'!$C:$C,MATCH(B149,'Delivery Standards'!$A:$A,0)),"⚠ Unknown AC ID")))</f>
        <v/>
      </c>
      <c r="F149" s="3" t="inlineStr">
        <is>
          <t>Read-only</t>
        </is>
      </c>
      <c r="G149" s="3" t="inlineStr">
        <is>
          <t>Negative</t>
        </is>
      </c>
      <c r="H149" s="3" t="inlineStr">
        <is>
          <t>Signed in as an administrator (a row in ITH_UserRole with role Administrator).</t>
        </is>
      </c>
      <c r="I149" s="3" t="inlineStr">
        <is>
          <t>1. Try to edit anything on Settings.</t>
        </is>
      </c>
      <c r="J149" s="3" t="inlineStr">
        <is>
          <t>Nothing can be edited.</t>
        </is>
      </c>
      <c r="K149" s="3" t="n"/>
      <c r="L149" s="3" t="inlineStr">
        <is>
          <t>Not Run</t>
        </is>
      </c>
      <c r="M149" s="3" t="n"/>
      <c r="N149" s="3" t="n"/>
    </row>
    <row r="150">
      <c r="A150" s="3" t="inlineStr">
        <is>
          <t>TC-DATA-001</t>
        </is>
      </c>
      <c r="B150" s="3" t="inlineStr">
        <is>
          <t>AC-ITH-38</t>
        </is>
      </c>
      <c r="C150" s="3" t="n">
        <v>1</v>
      </c>
      <c r="D150" s="3">
        <f>IF(B150="","",IFERROR(INDEX('Acceptance Criteria'!$D:$D,MATCH(B150,'Acceptance Criteria'!$A:$A,0)),IFERROR(INDEX('Delivery Standards'!$B:$B,MATCH(B150,'Delivery Standards'!$A:$A,0)),"⚠ Unknown AC ID")))</f>
        <v/>
      </c>
      <c r="E150" s="3">
        <f>IF(B150="","",IFERROR(INDEX('Acceptance Criteria'!$G:$G,MATCH(B150,'Acceptance Criteria'!$A:$A,0)),IFERROR(INDEX('Delivery Standards'!$C:$C,MATCH(B150,'Delivery Standards'!$A:$A,0)),"⚠ Unknown AC ID")))</f>
        <v/>
      </c>
      <c r="F150" s="3" t="inlineStr">
        <is>
          <t>Values come from the lists</t>
        </is>
      </c>
      <c r="G150" s="3" t="inlineStr">
        <is>
          <t>Positive</t>
        </is>
      </c>
      <c r="H150" s="3" t="inlineStr">
        <is>
          <t>Signed in as an administrator (a row in ITH_UserRole with role Administrator).</t>
        </is>
      </c>
      <c r="I150" s="3" t="inlineStr">
        <is>
          <t>1. Rename the category Other to Misc in ITH_Category.
2. Reopen the app.</t>
        </is>
      </c>
      <c r="J150" s="3" t="inlineStr">
        <is>
          <t>Misc replaces Other in the form, filter, chips and Settings.</t>
        </is>
      </c>
      <c r="K150" s="3" t="n"/>
      <c r="L150" s="3" t="inlineStr">
        <is>
          <t>Not Run</t>
        </is>
      </c>
      <c r="M150" s="3" t="n"/>
      <c r="N150" s="3" t="n"/>
    </row>
    <row r="151">
      <c r="A151" s="3" t="inlineStr">
        <is>
          <t>TC-DATA-002</t>
        </is>
      </c>
      <c r="B151" s="3" t="inlineStr">
        <is>
          <t>AC-ITH-38</t>
        </is>
      </c>
      <c r="C151" s="3" t="n">
        <v>3</v>
      </c>
      <c r="D151" s="3">
        <f>IF(B151="","",IFERROR(INDEX('Acceptance Criteria'!$D:$D,MATCH(B151,'Acceptance Criteria'!$A:$A,0)),IFERROR(INDEX('Delivery Standards'!$B:$B,MATCH(B151,'Delivery Standards'!$A:$A,0)),"⚠ Unknown AC ID")))</f>
        <v/>
      </c>
      <c r="E151" s="3">
        <f>IF(B151="","",IFERROR(INDEX('Acceptance Criteria'!$G:$G,MATCH(B151,'Acceptance Criteria'!$A:$A,0)),IFERROR(INDEX('Delivery Standards'!$C:$C,MATCH(B151,'Delivery Standards'!$A:$A,0)),"⚠ Unknown AC ID")))</f>
        <v/>
      </c>
      <c r="F151" s="3" t="inlineStr">
        <is>
          <t>Retire a value</t>
        </is>
      </c>
      <c r="G151" s="3" t="inlineStr">
        <is>
          <t>Positive</t>
        </is>
      </c>
      <c r="H151" s="3" t="inlineStr">
        <is>
          <t>Signed in as an administrator (a row in ITH_UserRole with role Administrator).</t>
        </is>
      </c>
      <c r="I151" s="3" t="inlineStr">
        <is>
          <t>1. Untick Active on a technician.
2. Reopen the app.</t>
        </is>
      </c>
      <c r="J151" s="3" t="inlineStr">
        <is>
          <t>The technician is no longer offered; old tickets keep their text.</t>
        </is>
      </c>
      <c r="K151" s="3" t="n"/>
      <c r="L151" s="3" t="inlineStr">
        <is>
          <t>Not Run</t>
        </is>
      </c>
      <c r="M151" s="3" t="n"/>
      <c r="N151" s="3" t="n"/>
    </row>
    <row r="152">
      <c r="A152" s="3" t="inlineStr">
        <is>
          <t>TC-DATA-003</t>
        </is>
      </c>
      <c r="B152" s="3" t="inlineStr">
        <is>
          <t>AC-ITH-38</t>
        </is>
      </c>
      <c r="C152" s="3" t="n">
        <v>2</v>
      </c>
      <c r="D152" s="3">
        <f>IF(B152="","",IFERROR(INDEX('Acceptance Criteria'!$D:$D,MATCH(B152,'Acceptance Criteria'!$A:$A,0)),IFERROR(INDEX('Delivery Standards'!$B:$B,MATCH(B152,'Delivery Standards'!$A:$A,0)),"⚠ Unknown AC ID")))</f>
        <v/>
      </c>
      <c r="E152" s="3">
        <f>IF(B152="","",IFERROR(INDEX('Acceptance Criteria'!$G:$G,MATCH(B152,'Acceptance Criteria'!$A:$A,0)),IFERROR(INDEX('Delivery Standards'!$C:$C,MATCH(B152,'Delivery Standards'!$A:$A,0)),"⚠ Unknown AC ID")))</f>
        <v/>
      </c>
      <c r="F152" s="3" t="inlineStr">
        <is>
          <t>Starting values</t>
        </is>
      </c>
      <c r="G152" s="3" t="inlineStr">
        <is>
          <t>Positive</t>
        </is>
      </c>
      <c r="H152" s="3" t="inlineStr">
        <is>
          <t>Signed in as an administrator (a row in ITH_UserRole with role Administrator).</t>
        </is>
      </c>
      <c r="I152" s="3" t="inlineStr">
        <is>
          <t>1. Import the lists from schemas/ and open the lists.</t>
        </is>
      </c>
      <c r="J152" s="3" t="inlineStr">
        <is>
          <t>The prototype's categories, priorities, statuses and technicians are present.</t>
        </is>
      </c>
      <c r="K152" s="3" t="n"/>
      <c r="L152" s="3" t="inlineStr">
        <is>
          <t>Not Run</t>
        </is>
      </c>
      <c r="M152" s="3" t="inlineStr">
        <is>
          <t>Replace with the client's values (IN-03).</t>
        </is>
      </c>
      <c r="N152" s="3" t="n"/>
    </row>
    <row r="153">
      <c r="A153" s="3" t="inlineStr">
        <is>
          <t>TC-SEC-001</t>
        </is>
      </c>
      <c r="B153" s="3" t="inlineStr">
        <is>
          <t>AC-ITH-39</t>
        </is>
      </c>
      <c r="C153" s="3" t="n">
        <v>1</v>
      </c>
      <c r="D153" s="3">
        <f>IF(B153="","",IFERROR(INDEX('Acceptance Criteria'!$D:$D,MATCH(B153,'Acceptance Criteria'!$A:$A,0)),IFERROR(INDEX('Delivery Standards'!$B:$B,MATCH(B153,'Delivery Standards'!$A:$A,0)),"⚠ Unknown AC ID")))</f>
        <v/>
      </c>
      <c r="E153" s="3">
        <f>IF(B153="","",IFERROR(INDEX('Acceptance Criteria'!$G:$G,MATCH(B153,'Acceptance Criteria'!$A:$A,0)),IFERROR(INDEX('Delivery Standards'!$C:$C,MATCH(B153,'Delivery Standards'!$A:$A,0)),"⚠ Unknown AC ID")))</f>
        <v/>
      </c>
      <c r="F153" s="3" t="inlineStr">
        <is>
          <t>Requester creates and comments on own tickets</t>
        </is>
      </c>
      <c r="G153" s="3" t="inlineStr">
        <is>
          <t>Positive</t>
        </is>
      </c>
      <c r="H153" s="3" t="inlineStr">
        <is>
          <t>Signed in as a requester (a row in ITH_UserRole with role Requester, or no row). Tickets HD-1 and HD-2 were raised by this user, others by other people.</t>
        </is>
      </c>
      <c r="I153" s="3" t="inlineStr">
        <is>
          <t>1. Create a ticket.
2. Open it and add a comment.</t>
        </is>
      </c>
      <c r="J153" s="3" t="inlineStr">
        <is>
          <t>Both work.</t>
        </is>
      </c>
      <c r="K153" s="3" t="n"/>
      <c r="L153" s="3" t="inlineStr">
        <is>
          <t>Not Run</t>
        </is>
      </c>
      <c r="M153" s="3" t="n"/>
      <c r="N153" s="3" t="n"/>
    </row>
    <row r="154">
      <c r="A154" s="3" t="inlineStr">
        <is>
          <t>TC-SEC-002</t>
        </is>
      </c>
      <c r="B154" s="3" t="inlineStr">
        <is>
          <t>AC-ITH-39</t>
        </is>
      </c>
      <c r="C154" s="3" t="n">
        <v>2</v>
      </c>
      <c r="D154" s="3">
        <f>IF(B154="","",IFERROR(INDEX('Acceptance Criteria'!$D:$D,MATCH(B154,'Acceptance Criteria'!$A:$A,0)),IFERROR(INDEX('Delivery Standards'!$B:$B,MATCH(B154,'Delivery Standards'!$A:$A,0)),"⚠ Unknown AC ID")))</f>
        <v/>
      </c>
      <c r="E154" s="3">
        <f>IF(B154="","",IFERROR(INDEX('Acceptance Criteria'!$G:$G,MATCH(B154,'Acceptance Criteria'!$A:$A,0)),IFERROR(INDEX('Delivery Standards'!$C:$C,MATCH(B154,'Delivery Standards'!$A:$A,0)),"⚠ Unknown AC ID")))</f>
        <v/>
      </c>
      <c r="F154" s="3" t="inlineStr">
        <is>
          <t>Requester sees only own tickets</t>
        </is>
      </c>
      <c r="G154" s="3" t="inlineStr">
        <is>
          <t>Negative</t>
        </is>
      </c>
      <c r="H154" s="3" t="inlineStr">
        <is>
          <t>Signed in as a requester (a row in ITH_UserRole with role Requester, or no row). Tickets HD-1 and HD-2 were raised by this user, others by other people.</t>
        </is>
      </c>
      <c r="I154" s="3" t="inlineStr">
        <is>
          <t>1. Look at every list, count and menu.</t>
        </is>
      </c>
      <c r="J154" s="3" t="inlineStr">
        <is>
          <t>Nothing about another person's ticket appears.</t>
        </is>
      </c>
      <c r="K154" s="3" t="n"/>
      <c r="L154" s="3" t="inlineStr">
        <is>
          <t>Not Run</t>
        </is>
      </c>
      <c r="M154" s="3" t="n"/>
      <c r="N154" s="3" t="n"/>
    </row>
    <row r="155">
      <c r="A155" s="3" t="inlineStr">
        <is>
          <t>TC-SEC-003</t>
        </is>
      </c>
      <c r="B155" s="3" t="inlineStr">
        <is>
          <t>AC-ITH-39</t>
        </is>
      </c>
      <c r="C155" s="3" t="n">
        <v>3</v>
      </c>
      <c r="D155" s="3">
        <f>IF(B155="","",IFERROR(INDEX('Acceptance Criteria'!$D:$D,MATCH(B155,'Acceptance Criteria'!$A:$A,0)),IFERROR(INDEX('Delivery Standards'!$B:$B,MATCH(B155,'Delivery Standards'!$A:$A,0)),"⚠ Unknown AC ID")))</f>
        <v/>
      </c>
      <c r="E155" s="3">
        <f>IF(B155="","",IFERROR(INDEX('Acceptance Criteria'!$G:$G,MATCH(B155,'Acceptance Criteria'!$A:$A,0)),IFERROR(INDEX('Delivery Standards'!$C:$C,MATCH(B155,'Delivery Standards'!$A:$A,0)),"⚠ Unknown AC ID")))</f>
        <v/>
      </c>
      <c r="F155" s="3" t="inlineStr">
        <is>
          <t>Requester reads KB and Settings</t>
        </is>
      </c>
      <c r="G155" s="3" t="inlineStr">
        <is>
          <t>Positive</t>
        </is>
      </c>
      <c r="H155" s="3" t="inlineStr">
        <is>
          <t>Signed in as a requester (a row in ITH_UserRole with role Requester, or no row). Tickets HD-1 and HD-2 were raised by this user, others by other people.</t>
        </is>
      </c>
      <c r="I155" s="3" t="inlineStr">
        <is>
          <t>1. Open Knowledge base and Settings.</t>
        </is>
      </c>
      <c r="J155" s="3" t="inlineStr">
        <is>
          <t>Both open.</t>
        </is>
      </c>
      <c r="K155" s="3" t="n"/>
      <c r="L155" s="3" t="inlineStr">
        <is>
          <t>Not Run</t>
        </is>
      </c>
      <c r="M155" s="3" t="n"/>
      <c r="N155" s="3" t="n"/>
    </row>
    <row r="156">
      <c r="A156" s="3" t="inlineStr">
        <is>
          <t>TC-SEC-004</t>
        </is>
      </c>
      <c r="B156" s="3" t="inlineStr">
        <is>
          <t>AC-ITH-39</t>
        </is>
      </c>
      <c r="C156" s="3" t="n">
        <v>4</v>
      </c>
      <c r="D156" s="3">
        <f>IF(B156="","",IFERROR(INDEX('Acceptance Criteria'!$D:$D,MATCH(B156,'Acceptance Criteria'!$A:$A,0)),IFERROR(INDEX('Delivery Standards'!$B:$B,MATCH(B156,'Delivery Standards'!$A:$A,0)),"⚠ Unknown AC ID")))</f>
        <v/>
      </c>
      <c r="E156" s="3">
        <f>IF(B156="","",IFERROR(INDEX('Acceptance Criteria'!$G:$G,MATCH(B156,'Acceptance Criteria'!$A:$A,0)),IFERROR(INDEX('Delivery Standards'!$C:$C,MATCH(B156,'Delivery Standards'!$A:$A,0)),"⚠ Unknown AC ID")))</f>
        <v/>
      </c>
      <c r="F156" s="3" t="inlineStr">
        <is>
          <t>Requester controls are absent</t>
        </is>
      </c>
      <c r="G156" s="3" t="inlineStr">
        <is>
          <t>Negative</t>
        </is>
      </c>
      <c r="H156" s="3" t="inlineStr">
        <is>
          <t>Signed in as a requester (a row in ITH_UserRole with role Requester, or no row). Tickets HD-1 and HD-2 were raised by this user, others by other people.</t>
        </is>
      </c>
      <c r="I156" s="3" t="inlineStr">
        <is>
          <t>1. Open one of your tickets and the list.</t>
        </is>
      </c>
      <c r="J156" s="3" t="inlineStr">
        <is>
          <t>No status, assignment, edit, resolve, close or export controls.</t>
        </is>
      </c>
      <c r="K156" s="3" t="n"/>
      <c r="L156" s="3" t="inlineStr">
        <is>
          <t>Not Run</t>
        </is>
      </c>
      <c r="M156" s="3" t="n"/>
      <c r="N156" s="3" t="n"/>
    </row>
    <row r="157">
      <c r="A157" s="3" t="inlineStr">
        <is>
          <t>TC-SEC-005</t>
        </is>
      </c>
      <c r="B157" s="3" t="inlineStr">
        <is>
          <t>AC-ITH-39</t>
        </is>
      </c>
      <c r="C157" s="3" t="n">
        <v>5</v>
      </c>
      <c r="D157" s="3">
        <f>IF(B157="","",IFERROR(INDEX('Acceptance Criteria'!$D:$D,MATCH(B157,'Acceptance Criteria'!$A:$A,0)),IFERROR(INDEX('Delivery Standards'!$B:$B,MATCH(B157,'Delivery Standards'!$A:$A,0)),"⚠ Unknown AC ID")))</f>
        <v/>
      </c>
      <c r="E157" s="3">
        <f>IF(B157="","",IFERROR(INDEX('Acceptance Criteria'!$G:$G,MATCH(B157,'Acceptance Criteria'!$A:$A,0)),IFERROR(INDEX('Delivery Standards'!$C:$C,MATCH(B157,'Delivery Standards'!$A:$A,0)),"⚠ Unknown AC ID")))</f>
        <v/>
      </c>
      <c r="F157" s="3" t="inlineStr">
        <is>
          <t>Refused save</t>
        </is>
      </c>
      <c r="G157" s="3" t="inlineStr">
        <is>
          <t>Negative</t>
        </is>
      </c>
      <c r="H157" s="3" t="inlineStr">
        <is>
          <t>Signed in as a requester (a row in ITH_UserRole with role Requester, or no row). Tickets HD-1 and HD-2 were raised by this user, others by other people. The requester has read-only list rights.</t>
        </is>
      </c>
      <c r="I157" s="3" t="inlineStr">
        <is>
          <t>1. Try to create a ticket.</t>
        </is>
      </c>
      <c r="J157" s="3" t="inlineStr">
        <is>
          <t>The app says the ticket was not saved ("You don't have access").</t>
        </is>
      </c>
      <c r="K157" s="3" t="n"/>
      <c r="L157" s="3" t="inlineStr">
        <is>
          <t>Not Run</t>
        </is>
      </c>
      <c r="M157" s="3" t="n"/>
      <c r="N157" s="3" t="n"/>
    </row>
    <row r="158">
      <c r="A158" s="3" t="inlineStr">
        <is>
          <t>TC-SEC-006</t>
        </is>
      </c>
      <c r="B158" s="3" t="inlineStr">
        <is>
          <t>AC-ITH-40</t>
        </is>
      </c>
      <c r="C158" s="3" t="n">
        <v>1</v>
      </c>
      <c r="D158" s="3">
        <f>IF(B158="","",IFERROR(INDEX('Acceptance Criteria'!$D:$D,MATCH(B158,'Acceptance Criteria'!$A:$A,0)),IFERROR(INDEX('Delivery Standards'!$B:$B,MATCH(B158,'Delivery Standards'!$A:$A,0)),"⚠ Unknown AC ID")))</f>
        <v/>
      </c>
      <c r="E158" s="3">
        <f>IF(B158="","",IFERROR(INDEX('Acceptance Criteria'!$G:$G,MATCH(B158,'Acceptance Criteria'!$A:$A,0)),IFERROR(INDEX('Delivery Standards'!$C:$C,MATCH(B158,'Delivery Standards'!$A:$A,0)),"⚠ Unknown AC ID")))</f>
        <v/>
      </c>
      <c r="F158" s="3" t="inlineStr">
        <is>
          <t>Technician abilities</t>
        </is>
      </c>
      <c r="G158" s="3" t="inlineStr">
        <is>
          <t>Positive</t>
        </is>
      </c>
      <c r="H158" s="3" t="inlineStr">
        <is>
          <t>Signed in as a technician (a row in ITH_UserRole with role Technician). The sample tickets from data-model.md exist.</t>
        </is>
      </c>
      <c r="I158" s="3" t="inlineStr">
        <is>
          <t>1. Change status, priority and assignee, edit, resolve, close and comment on someone else's ticket.</t>
        </is>
      </c>
      <c r="J158" s="3" t="inlineStr">
        <is>
          <t>All succeed.</t>
        </is>
      </c>
      <c r="K158" s="3" t="n"/>
      <c r="L158" s="3" t="inlineStr">
        <is>
          <t>Not Run</t>
        </is>
      </c>
      <c r="M158" s="3" t="n"/>
      <c r="N158" s="3" t="n"/>
    </row>
    <row r="159">
      <c r="A159" s="3" t="inlineStr">
        <is>
          <t>TC-SEC-007</t>
        </is>
      </c>
      <c r="B159" s="3" t="inlineStr">
        <is>
          <t>AC-ITH-40</t>
        </is>
      </c>
      <c r="C159" s="3" t="n">
        <v>2</v>
      </c>
      <c r="D159" s="3">
        <f>IF(B159="","",IFERROR(INDEX('Acceptance Criteria'!$D:$D,MATCH(B159,'Acceptance Criteria'!$A:$A,0)),IFERROR(INDEX('Delivery Standards'!$B:$B,MATCH(B159,'Delivery Standards'!$A:$A,0)),"⚠ Unknown AC ID")))</f>
        <v/>
      </c>
      <c r="E159" s="3">
        <f>IF(B159="","",IFERROR(INDEX('Acceptance Criteria'!$G:$G,MATCH(B159,'Acceptance Criteria'!$A:$A,0)),IFERROR(INDEX('Delivery Standards'!$C:$C,MATCH(B159,'Delivery Standards'!$A:$A,0)),"⚠ Unknown AC ID")))</f>
        <v/>
      </c>
      <c r="F159" s="3" t="inlineStr">
        <is>
          <t>No delete or master data</t>
        </is>
      </c>
      <c r="G159" s="3" t="inlineStr">
        <is>
          <t>Negative</t>
        </is>
      </c>
      <c r="H159" s="3" t="inlineStr">
        <is>
          <t>Signed in as a technician (a row in ITH_UserRole with role Technician). The sample tickets from data-model.md exist.</t>
        </is>
      </c>
      <c r="I159" s="3" t="inlineStr">
        <is>
          <t>1. Look for a delete control. Try to edit ITH_Category in SharePoint.</t>
        </is>
      </c>
      <c r="J159" s="3" t="inlineStr">
        <is>
          <t>There is no delete; the master list is read-only for a technician.</t>
        </is>
      </c>
      <c r="K159" s="3" t="n"/>
      <c r="L159" s="3" t="inlineStr">
        <is>
          <t>Not Run</t>
        </is>
      </c>
      <c r="M159" s="3" t="n"/>
      <c r="N159" s="3" t="n"/>
    </row>
    <row r="160">
      <c r="A160" s="3" t="inlineStr">
        <is>
          <t>TC-SEC-008</t>
        </is>
      </c>
      <c r="B160" s="3" t="inlineStr">
        <is>
          <t>AC-ITH-41</t>
        </is>
      </c>
      <c r="C160" s="3" t="n">
        <v>1</v>
      </c>
      <c r="D160" s="3">
        <f>IF(B160="","",IFERROR(INDEX('Acceptance Criteria'!$D:$D,MATCH(B160,'Acceptance Criteria'!$A:$A,0)),IFERROR(INDEX('Delivery Standards'!$B:$B,MATCH(B160,'Delivery Standards'!$A:$A,0)),"⚠ Unknown AC ID")))</f>
        <v/>
      </c>
      <c r="E160" s="3">
        <f>IF(B160="","",IFERROR(INDEX('Acceptance Criteria'!$G:$G,MATCH(B160,'Acceptance Criteria'!$A:$A,0)),IFERROR(INDEX('Delivery Standards'!$C:$C,MATCH(B160,'Delivery Standards'!$A:$A,0)),"⚠ Unknown AC ID")))</f>
        <v/>
      </c>
      <c r="F160" s="3" t="inlineStr">
        <is>
          <t>Administrator has technician abilities</t>
        </is>
      </c>
      <c r="G160" s="3" t="inlineStr">
        <is>
          <t>Positive</t>
        </is>
      </c>
      <c r="H160" s="3" t="inlineStr">
        <is>
          <t>Signed in as an administrator (a row in ITH_UserRole with role Administrator).</t>
        </is>
      </c>
      <c r="I160" s="3" t="inlineStr">
        <is>
          <t>1. Repeat the technician steps.</t>
        </is>
      </c>
      <c r="J160" s="3" t="inlineStr">
        <is>
          <t>All succeed.</t>
        </is>
      </c>
      <c r="K160" s="3" t="n"/>
      <c r="L160" s="3" t="inlineStr">
        <is>
          <t>Not Run</t>
        </is>
      </c>
      <c r="M160" s="3" t="n"/>
      <c r="N160" s="3" t="n"/>
    </row>
    <row r="161">
      <c r="A161" s="3" t="inlineStr">
        <is>
          <t>TC-SEC-009</t>
        </is>
      </c>
      <c r="B161" s="3" t="inlineStr">
        <is>
          <t>AC-ITH-41</t>
        </is>
      </c>
      <c r="C161" s="3" t="n">
        <v>3</v>
      </c>
      <c r="D161" s="3">
        <f>IF(B161="","",IFERROR(INDEX('Acceptance Criteria'!$D:$D,MATCH(B161,'Acceptance Criteria'!$A:$A,0)),IFERROR(INDEX('Delivery Standards'!$B:$B,MATCH(B161,'Delivery Standards'!$A:$A,0)),"⚠ Unknown AC ID")))</f>
        <v/>
      </c>
      <c r="E161" s="3">
        <f>IF(B161="","",IFERROR(INDEX('Acceptance Criteria'!$G:$G,MATCH(B161,'Acceptance Criteria'!$A:$A,0)),IFERROR(INDEX('Delivery Standards'!$C:$C,MATCH(B161,'Delivery Standards'!$A:$A,0)),"⚠ Unknown AC ID")))</f>
        <v/>
      </c>
      <c r="F161" s="3" t="inlineStr">
        <is>
          <t>Administrator maintains master data</t>
        </is>
      </c>
      <c r="G161" s="3" t="inlineStr">
        <is>
          <t>Positive</t>
        </is>
      </c>
      <c r="H161" s="3" t="inlineStr">
        <is>
          <t>Signed in as an administrator (a row in ITH_UserRole with role Administrator).</t>
        </is>
      </c>
      <c r="I161" s="3" t="inlineStr">
        <is>
          <t>1. Edit ITH_Category and ITH_Article in SharePoint.</t>
        </is>
      </c>
      <c r="J161" s="3" t="inlineStr">
        <is>
          <t>The changes are saved and show in the app.</t>
        </is>
      </c>
      <c r="K161" s="3" t="n"/>
      <c r="L161" s="3" t="inlineStr">
        <is>
          <t>Not Run</t>
        </is>
      </c>
      <c r="M161" s="3" t="n"/>
      <c r="N161" s="3" t="n"/>
    </row>
    <row r="162">
      <c r="A162" s="3" t="inlineStr">
        <is>
          <t>TC-SEC-010</t>
        </is>
      </c>
      <c r="B162" s="3" t="inlineStr">
        <is>
          <t>AC-ITH-05</t>
        </is>
      </c>
      <c r="C162" s="3" t="n">
        <v>3</v>
      </c>
      <c r="D162" s="3">
        <f>IF(B162="","",IFERROR(INDEX('Acceptance Criteria'!$D:$D,MATCH(B162,'Acceptance Criteria'!$A:$A,0)),IFERROR(INDEX('Delivery Standards'!$B:$B,MATCH(B162,'Delivery Standards'!$A:$A,0)),"⚠ Unknown AC ID")))</f>
        <v/>
      </c>
      <c r="E162" s="3">
        <f>IF(B162="","",IFERROR(INDEX('Acceptance Criteria'!$G:$G,MATCH(B162,'Acceptance Criteria'!$A:$A,0)),IFERROR(INDEX('Delivery Standards'!$C:$C,MATCH(B162,'Delivery Standards'!$A:$A,0)),"⚠ Unknown AC ID")))</f>
        <v/>
      </c>
      <c r="F162" s="3" t="inlineStr">
        <is>
          <t>Role comes from the role list</t>
        </is>
      </c>
      <c r="G162" s="3" t="inlineStr">
        <is>
          <t>Positive</t>
        </is>
      </c>
      <c r="H162" s="3" t="inlineStr">
        <is>
          <t>Signed in as an administrator (a row in ITH_UserRole with role Administrator).</t>
        </is>
      </c>
      <c r="I162" s="3" t="inlineStr">
        <is>
          <t>1. Change the tester's role in ITH_UserRole from Requester to Technician.
2. Reopen the app.</t>
        </is>
      </c>
      <c r="J162" s="3" t="inlineStr">
        <is>
          <t>Settings and the sidebar show the new role and the technician controls appear.</t>
        </is>
      </c>
      <c r="K162" s="3" t="n"/>
      <c r="L162" s="3" t="inlineStr">
        <is>
          <t>Not Run</t>
        </is>
      </c>
      <c r="M162" s="3" t="n"/>
      <c r="N162" s="3" t="n"/>
    </row>
    <row r="163">
      <c r="A163" s="3" t="inlineStr">
        <is>
          <t>TC-SEC-011</t>
        </is>
      </c>
      <c r="B163" s="3" t="inlineStr">
        <is>
          <t>AC-ITH-05</t>
        </is>
      </c>
      <c r="C163" s="3" t="n">
        <v>3</v>
      </c>
      <c r="D163" s="3">
        <f>IF(B163="","",IFERROR(INDEX('Acceptance Criteria'!$D:$D,MATCH(B163,'Acceptance Criteria'!$A:$A,0)),IFERROR(INDEX('Delivery Standards'!$B:$B,MATCH(B163,'Delivery Standards'!$A:$A,0)),"⚠ Unknown AC ID")))</f>
        <v/>
      </c>
      <c r="E163" s="3">
        <f>IF(B163="","",IFERROR(INDEX('Acceptance Criteria'!$G:$G,MATCH(B163,'Acceptance Criteria'!$A:$A,0)),IFERROR(INDEX('Delivery Standards'!$C:$C,MATCH(B163,'Delivery Standards'!$A:$A,0)),"⚠ Unknown AC ID")))</f>
        <v/>
      </c>
      <c r="F163" s="3" t="inlineStr">
        <is>
          <t>Unknown user is a requester</t>
        </is>
      </c>
      <c r="G163" s="3" t="inlineStr">
        <is>
          <t>Edge</t>
        </is>
      </c>
      <c r="H163" s="3" t="inlineStr">
        <is>
          <t>The app is published and shared with the tester.</t>
        </is>
      </c>
      <c r="I163" s="3" t="inlineStr">
        <is>
          <t>1. Sign in as a user with no row in ITH_UserRole.</t>
        </is>
      </c>
      <c r="J163" s="3" t="inlineStr">
        <is>
          <t>The role is Requester.</t>
        </is>
      </c>
      <c r="K163" s="3" t="n"/>
      <c r="L163" s="3" t="inlineStr">
        <is>
          <t>Not Run</t>
        </is>
      </c>
      <c r="M163" s="3" t="n"/>
      <c r="N163" s="3" t="n"/>
    </row>
    <row r="164">
      <c r="A164" s="3" t="inlineStr">
        <is>
          <t>TC-FLW-001</t>
        </is>
      </c>
      <c r="B164" s="3" t="inlineStr">
        <is>
          <t>AC-ITH-32</t>
        </is>
      </c>
      <c r="C164" s="3" t="n">
        <v>1</v>
      </c>
      <c r="D164" s="3">
        <f>IF(B164="","",IFERROR(INDEX('Acceptance Criteria'!$D:$D,MATCH(B164,'Acceptance Criteria'!$A:$A,0)),IFERROR(INDEX('Delivery Standards'!$B:$B,MATCH(B164,'Delivery Standards'!$A:$A,0)),"⚠ Unknown AC ID")))</f>
        <v/>
      </c>
      <c r="E164" s="3">
        <f>IF(B164="","",IFERROR(INDEX('Acceptance Criteria'!$G:$G,MATCH(B164,'Acceptance Criteria'!$A:$A,0)),IFERROR(INDEX('Delivery Standards'!$C:$C,MATCH(B164,'Delivery Standards'!$A:$A,0)),"⚠ Unknown AC ID")))</f>
        <v/>
      </c>
      <c r="F164" s="3" t="inlineStr">
        <is>
          <t>Creation email</t>
        </is>
      </c>
      <c r="G164" s="3" t="inlineStr">
        <is>
          <t>Positive</t>
        </is>
      </c>
      <c r="H164" s="3" t="inlineStr">
        <is>
          <t>Signed in as a technician (a row in ITH_UserRole with role Technician). The sample tickets from data-model.md exist. The flows are on, ith_MailOverride is set to a mailbox the tester can read.</t>
        </is>
      </c>
      <c r="I164" s="3" t="inlineStr">
        <is>
          <t>1. Create a ticket titled "TC-FLW-001".</t>
        </is>
      </c>
      <c r="J164" s="3" t="inlineStr">
        <is>
          <t>Within a few minutes an email arrives with the ID, the subject "TC-FLW-001" and a link.</t>
        </is>
      </c>
      <c r="K164" s="3" t="n"/>
      <c r="L164" s="3" t="inlineStr">
        <is>
          <t>Not Run</t>
        </is>
      </c>
      <c r="M164" s="3" t="inlineStr">
        <is>
          <t>Blocked until IN-04 and the flow connections are set.</t>
        </is>
      </c>
      <c r="N164" s="3" t="n"/>
    </row>
    <row r="165">
      <c r="A165" s="3" t="inlineStr">
        <is>
          <t>TC-FLW-002</t>
        </is>
      </c>
      <c r="B165" s="3" t="inlineStr">
        <is>
          <t>AC-ITH-32</t>
        </is>
      </c>
      <c r="C165" s="3" t="n">
        <v>2</v>
      </c>
      <c r="D165" s="3">
        <f>IF(B165="","",IFERROR(INDEX('Acceptance Criteria'!$D:$D,MATCH(B165,'Acceptance Criteria'!$A:$A,0)),IFERROR(INDEX('Delivery Standards'!$B:$B,MATCH(B165,'Delivery Standards'!$A:$A,0)),"⚠ Unknown AC ID")))</f>
        <v/>
      </c>
      <c r="E165" s="3">
        <f>IF(B165="","",IFERROR(INDEX('Acceptance Criteria'!$G:$G,MATCH(B165,'Acceptance Criteria'!$A:$A,0)),IFERROR(INDEX('Delivery Standards'!$C:$C,MATCH(B165,'Delivery Standards'!$A:$A,0)),"⚠ Unknown AC ID")))</f>
        <v/>
      </c>
      <c r="F165" s="3" t="inlineStr">
        <is>
          <t>Link opens the ticket</t>
        </is>
      </c>
      <c r="G165" s="3" t="inlineStr">
        <is>
          <t>Positive</t>
        </is>
      </c>
      <c r="H165" s="3" t="inlineStr">
        <is>
          <t>Signed in as a technician (a row in ITH_UserRole with role Technician). The sample tickets from data-model.md exist.</t>
        </is>
      </c>
      <c r="I165" s="3" t="inlineStr">
        <is>
          <t>1. Select the link in the email.</t>
        </is>
      </c>
      <c r="J165" s="3" t="inlineStr">
        <is>
          <t>The app opens with that ticket's panel open.</t>
        </is>
      </c>
      <c r="K165" s="3" t="n"/>
      <c r="L165" s="3" t="inlineStr">
        <is>
          <t>Not Run</t>
        </is>
      </c>
      <c r="M165" s="3" t="n"/>
      <c r="N165" s="3" t="n"/>
    </row>
    <row r="166">
      <c r="A166" s="3" t="inlineStr">
        <is>
          <t>TC-FLW-003</t>
        </is>
      </c>
      <c r="B166" s="3" t="inlineStr">
        <is>
          <t>AC-ITH-32</t>
        </is>
      </c>
      <c r="C166" s="3" t="n">
        <v>4</v>
      </c>
      <c r="D166" s="3">
        <f>IF(B166="","",IFERROR(INDEX('Acceptance Criteria'!$D:$D,MATCH(B166,'Acceptance Criteria'!$A:$A,0)),IFERROR(INDEX('Delivery Standards'!$B:$B,MATCH(B166,'Delivery Standards'!$A:$A,0)),"⚠ Unknown AC ID")))</f>
        <v/>
      </c>
      <c r="E166" s="3">
        <f>IF(B166="","",IFERROR(INDEX('Acceptance Criteria'!$G:$G,MATCH(B166,'Acceptance Criteria'!$A:$A,0)),IFERROR(INDEX('Delivery Standards'!$C:$C,MATCH(B166,'Delivery Standards'!$A:$A,0)),"⚠ Unknown AC ID")))</f>
        <v/>
      </c>
      <c r="F166" s="3" t="inlineStr">
        <is>
          <t>Mailbox is a setting</t>
        </is>
      </c>
      <c r="G166" s="3" t="inlineStr">
        <is>
          <t>Positive</t>
        </is>
      </c>
      <c r="H166" s="3" t="inlineStr">
        <is>
          <t>Signed in as a technician (a row in ITH_UserRole with role Technician). The sample tickets from data-model.md exist.</t>
        </is>
      </c>
      <c r="I166" s="3" t="inlineStr">
        <is>
          <t>1. Change ith_NotificationMailbox in the environment without editing the flow.
2. Create a ticket.</t>
        </is>
      </c>
      <c r="J166" s="3" t="inlineStr">
        <is>
          <t>The email comes from the new mailbox.</t>
        </is>
      </c>
      <c r="K166" s="3" t="n"/>
      <c r="L166" s="3" t="inlineStr">
        <is>
          <t>Not Run</t>
        </is>
      </c>
      <c r="M166" s="3" t="n"/>
      <c r="N166" s="3" t="n"/>
    </row>
    <row r="167">
      <c r="A167" s="3" t="inlineStr">
        <is>
          <t>TC-FLW-004</t>
        </is>
      </c>
      <c r="B167" s="3" t="inlineStr">
        <is>
          <t>AC-ITH-32</t>
        </is>
      </c>
      <c r="C167" s="3" t="n">
        <v>1</v>
      </c>
      <c r="D167" s="3">
        <f>IF(B167="","",IFERROR(INDEX('Acceptance Criteria'!$D:$D,MATCH(B167,'Acceptance Criteria'!$A:$A,0)),IFERROR(INDEX('Delivery Standards'!$B:$B,MATCH(B167,'Delivery Standards'!$A:$A,0)),"⚠ Unknown AC ID")))</f>
        <v/>
      </c>
      <c r="E167" s="3">
        <f>IF(B167="","",IFERROR(INDEX('Acceptance Criteria'!$G:$G,MATCH(B167,'Acceptance Criteria'!$A:$A,0)),IFERROR(INDEX('Delivery Standards'!$C:$C,MATCH(B167,'Delivery Standards'!$A:$A,0)),"⚠ Unknown AC ID")))</f>
        <v/>
      </c>
      <c r="F167" s="3" t="inlineStr">
        <is>
          <t>Flow failure is visible</t>
        </is>
      </c>
      <c r="G167" s="3" t="inlineStr">
        <is>
          <t>Negative</t>
        </is>
      </c>
      <c r="H167" s="3" t="inlineStr">
        <is>
          <t>Signed in as a technician (a row in ITH_UserRole with role Technician). The sample tickets from data-model.md exist.</t>
        </is>
      </c>
      <c r="I167" s="3" t="inlineStr">
        <is>
          <t>1. Remove the Outlook connection from the flow.
2. Create a ticket.</t>
        </is>
      </c>
      <c r="J167" s="3" t="inlineStr">
        <is>
          <t>The run shows Failed in run history; the app is not affected.</t>
        </is>
      </c>
      <c r="K167" s="3" t="n"/>
      <c r="L167" s="3" t="inlineStr">
        <is>
          <t>Not Run</t>
        </is>
      </c>
      <c r="M167" s="3" t="n"/>
      <c r="N167" s="3" t="n"/>
    </row>
    <row r="168">
      <c r="A168" s="3" t="inlineStr">
        <is>
          <t>TC-FLW-005</t>
        </is>
      </c>
      <c r="B168" s="3" t="inlineStr">
        <is>
          <t>AC-ITH-33</t>
        </is>
      </c>
      <c r="C168" s="3" t="n">
        <v>1</v>
      </c>
      <c r="D168" s="3">
        <f>IF(B168="","",IFERROR(INDEX('Acceptance Criteria'!$D:$D,MATCH(B168,'Acceptance Criteria'!$A:$A,0)),IFERROR(INDEX('Delivery Standards'!$B:$B,MATCH(B168,'Delivery Standards'!$A:$A,0)),"⚠ Unknown AC ID")))</f>
        <v/>
      </c>
      <c r="E168" s="3">
        <f>IF(B168="","",IFERROR(INDEX('Acceptance Criteria'!$G:$G,MATCH(B168,'Acceptance Criteria'!$A:$A,0)),IFERROR(INDEX('Delivery Standards'!$C:$C,MATCH(B168,'Delivery Standards'!$A:$A,0)),"⚠ Unknown AC ID")))</f>
        <v/>
      </c>
      <c r="F168" s="3" t="inlineStr">
        <is>
          <t>Assignment email</t>
        </is>
      </c>
      <c r="G168" s="3" t="inlineStr">
        <is>
          <t>Positive</t>
        </is>
      </c>
      <c r="H168" s="3" t="inlineStr">
        <is>
          <t>Signed in as a technician (a row in ITH_UserRole with role Technician). The sample tickets from data-model.md exist.</t>
        </is>
      </c>
      <c r="I168" s="3" t="inlineStr">
        <is>
          <t>1. Assign a ticket to Priya Nair.</t>
        </is>
      </c>
      <c r="J168" s="3" t="inlineStr">
        <is>
          <t>Priya (or the override mailbox) receives an email with the ID, subject and a link.</t>
        </is>
      </c>
      <c r="K168" s="3" t="n"/>
      <c r="L168" s="3" t="inlineStr">
        <is>
          <t>Not Run</t>
        </is>
      </c>
      <c r="M168" s="3" t="inlineStr">
        <is>
          <t>Blocked until IN-04.</t>
        </is>
      </c>
      <c r="N168" s="3" t="n"/>
    </row>
    <row r="169">
      <c r="A169" s="3" t="inlineStr">
        <is>
          <t>TC-FLW-006</t>
        </is>
      </c>
      <c r="B169" s="3" t="inlineStr">
        <is>
          <t>AC-ITH-33</t>
        </is>
      </c>
      <c r="C169" s="3" t="n">
        <v>3</v>
      </c>
      <c r="D169" s="3">
        <f>IF(B169="","",IFERROR(INDEX('Acceptance Criteria'!$D:$D,MATCH(B169,'Acceptance Criteria'!$A:$A,0)),IFERROR(INDEX('Delivery Standards'!$B:$B,MATCH(B169,'Delivery Standards'!$A:$A,0)),"⚠ Unknown AC ID")))</f>
        <v/>
      </c>
      <c r="E169" s="3">
        <f>IF(B169="","",IFERROR(INDEX('Acceptance Criteria'!$G:$G,MATCH(B169,'Acceptance Criteria'!$A:$A,0)),IFERROR(INDEX('Delivery Standards'!$C:$C,MATCH(B169,'Delivery Standards'!$A:$A,0)),"⚠ Unknown AC ID")))</f>
        <v/>
      </c>
      <c r="F169" s="3" t="inlineStr">
        <is>
          <t>No email when unassigned</t>
        </is>
      </c>
      <c r="G169" s="3" t="inlineStr">
        <is>
          <t>Negative</t>
        </is>
      </c>
      <c r="H169" s="3" t="inlineStr">
        <is>
          <t>Signed in as a technician (a row in ITH_UserRole with role Technician). The sample tickets from data-model.md exist.</t>
        </is>
      </c>
      <c r="I169" s="3" t="inlineStr">
        <is>
          <t>1. Set a ticket to Unassigned.</t>
        </is>
      </c>
      <c r="J169" s="3" t="inlineStr">
        <is>
          <t>No assignment email is sent.</t>
        </is>
      </c>
      <c r="K169" s="3" t="n"/>
      <c r="L169" s="3" t="inlineStr">
        <is>
          <t>Not Run</t>
        </is>
      </c>
      <c r="M169" s="3" t="n"/>
      <c r="N169" s="3" t="n"/>
    </row>
    <row r="170">
      <c r="A170" s="3" t="inlineStr">
        <is>
          <t>TC-FLW-007</t>
        </is>
      </c>
      <c r="B170" s="3" t="inlineStr">
        <is>
          <t>AC-ITH-33</t>
        </is>
      </c>
      <c r="C170" s="3" t="n">
        <v>3</v>
      </c>
      <c r="D170" s="3">
        <f>IF(B170="","",IFERROR(INDEX('Acceptance Criteria'!$D:$D,MATCH(B170,'Acceptance Criteria'!$A:$A,0)),IFERROR(INDEX('Delivery Standards'!$B:$B,MATCH(B170,'Delivery Standards'!$A:$A,0)),"⚠ Unknown AC ID")))</f>
        <v/>
      </c>
      <c r="E170" s="3">
        <f>IF(B170="","",IFERROR(INDEX('Acceptance Criteria'!$G:$G,MATCH(B170,'Acceptance Criteria'!$A:$A,0)),IFERROR(INDEX('Delivery Standards'!$C:$C,MATCH(B170,'Delivery Standards'!$A:$A,0)),"⚠ Unknown AC ID")))</f>
        <v/>
      </c>
      <c r="F170" s="3" t="inlineStr">
        <is>
          <t>No email to yourself</t>
        </is>
      </c>
      <c r="G170" s="3" t="inlineStr">
        <is>
          <t>Edge</t>
        </is>
      </c>
      <c r="H170" s="3" t="inlineStr">
        <is>
          <t>Signed in as a technician (a row in ITH_UserRole with role Technician). The sample tickets from data-model.md exist.</t>
        </is>
      </c>
      <c r="I170" s="3" t="inlineStr">
        <is>
          <t>1. Assign a ticket to yourself.</t>
        </is>
      </c>
      <c r="J170" s="3" t="inlineStr">
        <is>
          <t>No assignment email is sent.</t>
        </is>
      </c>
      <c r="K170" s="3" t="n"/>
      <c r="L170" s="3" t="inlineStr">
        <is>
          <t>Not Run</t>
        </is>
      </c>
      <c r="M170" s="3" t="n"/>
      <c r="N170" s="3" t="n"/>
    </row>
    <row r="171">
      <c r="A171" s="3" t="inlineStr">
        <is>
          <t>TC-FLW-008</t>
        </is>
      </c>
      <c r="B171" s="3" t="inlineStr">
        <is>
          <t>AC-ITH-34</t>
        </is>
      </c>
      <c r="C171" s="3" t="n">
        <v>1</v>
      </c>
      <c r="D171" s="3">
        <f>IF(B171="","",IFERROR(INDEX('Acceptance Criteria'!$D:$D,MATCH(B171,'Acceptance Criteria'!$A:$A,0)),IFERROR(INDEX('Delivery Standards'!$B:$B,MATCH(B171,'Delivery Standards'!$A:$A,0)),"⚠ Unknown AC ID")))</f>
        <v/>
      </c>
      <c r="E171" s="3">
        <f>IF(B171="","",IFERROR(INDEX('Acceptance Criteria'!$G:$G,MATCH(B171,'Acceptance Criteria'!$A:$A,0)),IFERROR(INDEX('Delivery Standards'!$C:$C,MATCH(B171,'Delivery Standards'!$A:$A,0)),"⚠ Unknown AC ID")))</f>
        <v/>
      </c>
      <c r="F171" s="3" t="inlineStr">
        <is>
          <t>Status email</t>
        </is>
      </c>
      <c r="G171" s="3" t="inlineStr">
        <is>
          <t>Positive</t>
        </is>
      </c>
      <c r="H171" s="3" t="inlineStr">
        <is>
          <t>Signed in as a technician (a row in ITH_UserRole with role Technician). The sample tickets from data-model.md exist.</t>
        </is>
      </c>
      <c r="I171" s="3" t="inlineStr">
        <is>
          <t>1. As a technician change a requester's ticket status to In Progress.</t>
        </is>
      </c>
      <c r="J171" s="3" t="inlineStr">
        <is>
          <t>The requester receives an email with the new status.</t>
        </is>
      </c>
      <c r="K171" s="3" t="n"/>
      <c r="L171" s="3" t="inlineStr">
        <is>
          <t>Not Run</t>
        </is>
      </c>
      <c r="M171" s="3" t="inlineStr">
        <is>
          <t>Blocked until IN-04.</t>
        </is>
      </c>
      <c r="N171" s="3" t="n"/>
    </row>
    <row r="172">
      <c r="A172" s="3" t="inlineStr">
        <is>
          <t>TC-FLW-009</t>
        </is>
      </c>
      <c r="B172" s="3" t="inlineStr">
        <is>
          <t>AC-ITH-34</t>
        </is>
      </c>
      <c r="C172" s="3" t="n">
        <v>2</v>
      </c>
      <c r="D172" s="3">
        <f>IF(B172="","",IFERROR(INDEX('Acceptance Criteria'!$D:$D,MATCH(B172,'Acceptance Criteria'!$A:$A,0)),IFERROR(INDEX('Delivery Standards'!$B:$B,MATCH(B172,'Delivery Standards'!$A:$A,0)),"⚠ Unknown AC ID")))</f>
        <v/>
      </c>
      <c r="E172" s="3">
        <f>IF(B172="","",IFERROR(INDEX('Acceptance Criteria'!$G:$G,MATCH(B172,'Acceptance Criteria'!$A:$A,0)),IFERROR(INDEX('Delivery Standards'!$C:$C,MATCH(B172,'Delivery Standards'!$A:$A,0)),"⚠ Unknown AC ID")))</f>
        <v/>
      </c>
      <c r="F172" s="3" t="inlineStr">
        <is>
          <t>Resolved email</t>
        </is>
      </c>
      <c r="G172" s="3" t="inlineStr">
        <is>
          <t>Positive</t>
        </is>
      </c>
      <c r="H172" s="3" t="inlineStr">
        <is>
          <t>Signed in as a technician (a row in ITH_UserRole with role Technician). The sample tickets from data-model.md exist.</t>
        </is>
      </c>
      <c r="I172" s="3" t="inlineStr">
        <is>
          <t>1. Resolve a requester's ticket.</t>
        </is>
      </c>
      <c r="J172" s="3" t="inlineStr">
        <is>
          <t>The requester's email says it is resolved.</t>
        </is>
      </c>
      <c r="K172" s="3" t="n"/>
      <c r="L172" s="3" t="inlineStr">
        <is>
          <t>Not Run</t>
        </is>
      </c>
      <c r="M172" s="3" t="n"/>
      <c r="N172" s="3" t="n"/>
    </row>
    <row r="173">
      <c r="A173" s="3" t="inlineStr">
        <is>
          <t>TC-FLW-010</t>
        </is>
      </c>
      <c r="B173" s="3" t="inlineStr">
        <is>
          <t>AC-ITH-34</t>
        </is>
      </c>
      <c r="C173" s="3" t="n">
        <v>3</v>
      </c>
      <c r="D173" s="3">
        <f>IF(B173="","",IFERROR(INDEX('Acceptance Criteria'!$D:$D,MATCH(B173,'Acceptance Criteria'!$A:$A,0)),IFERROR(INDEX('Delivery Standards'!$B:$B,MATCH(B173,'Delivery Standards'!$A:$A,0)),"⚠ Unknown AC ID")))</f>
        <v/>
      </c>
      <c r="E173" s="3">
        <f>IF(B173="","",IFERROR(INDEX('Acceptance Criteria'!$G:$G,MATCH(B173,'Acceptance Criteria'!$A:$A,0)),IFERROR(INDEX('Delivery Standards'!$C:$C,MATCH(B173,'Delivery Standards'!$A:$A,0)),"⚠ Unknown AC ID")))</f>
        <v/>
      </c>
      <c r="F173" s="3" t="inlineStr">
        <is>
          <t>Comment email</t>
        </is>
      </c>
      <c r="G173" s="3" t="inlineStr">
        <is>
          <t>Positive</t>
        </is>
      </c>
      <c r="H173" s="3" t="inlineStr">
        <is>
          <t>Signed in as a technician (a row in ITH_UserRole with role Technician). The sample tickets from data-model.md exist.</t>
        </is>
      </c>
      <c r="I173" s="3" t="inlineStr">
        <is>
          <t>1. Comment on a requester's ticket.</t>
        </is>
      </c>
      <c r="J173" s="3" t="inlineStr">
        <is>
          <t>The requester receives an email naming who commented.</t>
        </is>
      </c>
      <c r="K173" s="3" t="n"/>
      <c r="L173" s="3" t="inlineStr">
        <is>
          <t>Not Run</t>
        </is>
      </c>
      <c r="M173" s="3" t="n"/>
      <c r="N173" s="3" t="n"/>
    </row>
    <row r="174">
      <c r="A174" s="3" t="inlineStr">
        <is>
          <t>TC-FLW-011</t>
        </is>
      </c>
      <c r="B174" s="3" t="inlineStr">
        <is>
          <t>AC-ITH-34</t>
        </is>
      </c>
      <c r="C174" s="3" t="n">
        <v>4</v>
      </c>
      <c r="D174" s="3">
        <f>IF(B174="","",IFERROR(INDEX('Acceptance Criteria'!$D:$D,MATCH(B174,'Acceptance Criteria'!$A:$A,0)),IFERROR(INDEX('Delivery Standards'!$B:$B,MATCH(B174,'Delivery Standards'!$A:$A,0)),"⚠ Unknown AC ID")))</f>
        <v/>
      </c>
      <c r="E174" s="3">
        <f>IF(B174="","",IFERROR(INDEX('Acceptance Criteria'!$G:$G,MATCH(B174,'Acceptance Criteria'!$A:$A,0)),IFERROR(INDEX('Delivery Standards'!$C:$C,MATCH(B174,'Delivery Standards'!$A:$A,0)),"⚠ Unknown AC ID")))</f>
        <v/>
      </c>
      <c r="F174" s="3" t="inlineStr">
        <is>
          <t>No email to the person who made the change</t>
        </is>
      </c>
      <c r="G174" s="3" t="inlineStr">
        <is>
          <t>Negative</t>
        </is>
      </c>
      <c r="H174" s="3" t="inlineStr">
        <is>
          <t>Signed in as a requester (a row in ITH_UserRole with role Requester, or no row). Tickets HD-1 and HD-2 were raised by this user, others by other people.</t>
        </is>
      </c>
      <c r="I174" s="3" t="inlineStr">
        <is>
          <t>1. Comment on your own ticket as the requester.</t>
        </is>
      </c>
      <c r="J174" s="3" t="inlineStr">
        <is>
          <t>No email is sent to you.</t>
        </is>
      </c>
      <c r="K174" s="3" t="n"/>
      <c r="L174" s="3" t="inlineStr">
        <is>
          <t>Not Run</t>
        </is>
      </c>
      <c r="M174" s="3" t="n"/>
      <c r="N174" s="3" t="n"/>
    </row>
    <row r="175">
      <c r="A175" s="3" t="inlineStr">
        <is>
          <t>TC-FLW-012</t>
        </is>
      </c>
      <c r="B175" s="3" t="inlineStr">
        <is>
          <t>AC-ITH-34</t>
        </is>
      </c>
      <c r="C175" s="3" t="n">
        <v>5</v>
      </c>
      <c r="D175" s="3">
        <f>IF(B175="","",IFERROR(INDEX('Acceptance Criteria'!$D:$D,MATCH(B175,'Acceptance Criteria'!$A:$A,0)),IFERROR(INDEX('Delivery Standards'!$B:$B,MATCH(B175,'Delivery Standards'!$A:$A,0)),"⚠ Unknown AC ID")))</f>
        <v/>
      </c>
      <c r="E175" s="3">
        <f>IF(B175="","",IFERROR(INDEX('Acceptance Criteria'!$G:$G,MATCH(B175,'Acceptance Criteria'!$A:$A,0)),IFERROR(INDEX('Delivery Standards'!$C:$C,MATCH(B175,'Delivery Standards'!$A:$A,0)),"⚠ Unknown AC ID")))</f>
        <v/>
      </c>
      <c r="F175" s="3" t="inlineStr">
        <is>
          <t>Other changes send nothing</t>
        </is>
      </c>
      <c r="G175" s="3" t="inlineStr">
        <is>
          <t>Negative</t>
        </is>
      </c>
      <c r="H175" s="3" t="inlineStr">
        <is>
          <t>Signed in as a technician (a row in ITH_UserRole with role Technician). The sample tickets from data-model.md exist.</t>
        </is>
      </c>
      <c r="I175" s="3" t="inlineStr">
        <is>
          <t>1. Change a priority on a requester's ticket.</t>
        </is>
      </c>
      <c r="J175" s="3" t="inlineStr">
        <is>
          <t>No email is sent.</t>
        </is>
      </c>
      <c r="K175" s="3" t="n"/>
      <c r="L175" s="3" t="inlineStr">
        <is>
          <t>Not Run</t>
        </is>
      </c>
      <c r="M175" s="3" t="n"/>
      <c r="N175" s="3" t="n"/>
    </row>
    <row r="176">
      <c r="A176" s="3" t="inlineStr">
        <is>
          <t>TC-A11Y-001</t>
        </is>
      </c>
      <c r="B176" s="3" t="inlineStr">
        <is>
          <t>STD-A11Y</t>
        </is>
      </c>
      <c r="C176" s="3" t="n">
        <v>1</v>
      </c>
      <c r="D176" s="3">
        <f>IF(B176="","",IFERROR(INDEX('Acceptance Criteria'!$D:$D,MATCH(B176,'Acceptance Criteria'!$A:$A,0)),IFERROR(INDEX('Delivery Standards'!$B:$B,MATCH(B176,'Delivery Standards'!$A:$A,0)),"⚠ Unknown AC ID")))</f>
        <v/>
      </c>
      <c r="E176" s="3">
        <f>IF(B176="","",IFERROR(INDEX('Acceptance Criteria'!$G:$G,MATCH(B176,'Acceptance Criteria'!$A:$A,0)),IFERROR(INDEX('Delivery Standards'!$C:$C,MATCH(B176,'Delivery Standards'!$A:$A,0)),"⚠ Unknown AC ID")))</f>
        <v/>
      </c>
      <c r="F176" s="3" t="inlineStr">
        <is>
          <t>Keyboard-only pass of Overview and the ticket list</t>
        </is>
      </c>
      <c r="G176" s="3" t="inlineStr">
        <is>
          <t>Accessibility</t>
        </is>
      </c>
      <c r="H176" s="3" t="inlineStr">
        <is>
          <t>The app is published and shared with the tester.</t>
        </is>
      </c>
      <c r="I176" s="3" t="inlineStr">
        <is>
          <t>1. Using Tab, Shift+Tab, Enter and Space only, operate every control on Overview and on All tickets.</t>
        </is>
      </c>
      <c r="J176" s="3" t="inlineStr">
        <is>
          <t>Every control is reachable in reading order with a visible focus indicator; nothing traps focus.</t>
        </is>
      </c>
      <c r="K176" s="3" t="n"/>
      <c r="L176" s="3" t="inlineStr">
        <is>
          <t>Not Run</t>
        </is>
      </c>
      <c r="M176" s="3" t="n"/>
      <c r="N176" s="3" t="n"/>
    </row>
    <row r="177">
      <c r="A177" s="3" t="inlineStr">
        <is>
          <t>TC-A11Y-002</t>
        </is>
      </c>
      <c r="B177" s="3" t="inlineStr">
        <is>
          <t>STD-A11Y</t>
        </is>
      </c>
      <c r="C177" s="3" t="n">
        <v>1</v>
      </c>
      <c r="D177" s="3">
        <f>IF(B177="","",IFERROR(INDEX('Acceptance Criteria'!$D:$D,MATCH(B177,'Acceptance Criteria'!$A:$A,0)),IFERROR(INDEX('Delivery Standards'!$B:$B,MATCH(B177,'Delivery Standards'!$A:$A,0)),"⚠ Unknown AC ID")))</f>
        <v/>
      </c>
      <c r="E177" s="3">
        <f>IF(B177="","",IFERROR(INDEX('Acceptance Criteria'!$G:$G,MATCH(B177,'Acceptance Criteria'!$A:$A,0)),IFERROR(INDEX('Delivery Standards'!$C:$C,MATCH(B177,'Delivery Standards'!$A:$A,0)),"⚠ Unknown AC ID")))</f>
        <v/>
      </c>
      <c r="F177" s="3" t="inlineStr">
        <is>
          <t>Keyboard-only pass of the form and the panel</t>
        </is>
      </c>
      <c r="G177" s="3" t="inlineStr">
        <is>
          <t>Accessibility</t>
        </is>
      </c>
      <c r="H177" s="3" t="inlineStr">
        <is>
          <t>Signed in as a technician (a row in ITH_UserRole with role Technician). The sample tickets from data-model.md exist.</t>
        </is>
      </c>
      <c r="I177" s="3" t="inlineStr">
        <is>
          <t>1. Open the form and the ticket panel and operate every control with the keyboard.</t>
        </is>
      </c>
      <c r="J177" s="3" t="inlineStr">
        <is>
          <t>Everything works; closing returns focus to the page.</t>
        </is>
      </c>
      <c r="K177" s="3" t="n"/>
      <c r="L177" s="3" t="inlineStr">
        <is>
          <t>Not Run</t>
        </is>
      </c>
      <c r="M177" s="3" t="n"/>
      <c r="N177" s="3" t="n"/>
    </row>
    <row r="178">
      <c r="A178" s="3" t="inlineStr">
        <is>
          <t>TC-A11Y-003</t>
        </is>
      </c>
      <c r="B178" s="3" t="inlineStr">
        <is>
          <t>STD-A11Y</t>
        </is>
      </c>
      <c r="C178" s="3" t="n">
        <v>2</v>
      </c>
      <c r="D178" s="3">
        <f>IF(B178="","",IFERROR(INDEX('Acceptance Criteria'!$D:$D,MATCH(B178,'Acceptance Criteria'!$A:$A,0)),IFERROR(INDEX('Delivery Standards'!$B:$B,MATCH(B178,'Delivery Standards'!$A:$A,0)),"⚠ Unknown AC ID")))</f>
        <v/>
      </c>
      <c r="E178" s="3">
        <f>IF(B178="","",IFERROR(INDEX('Acceptance Criteria'!$G:$G,MATCH(B178,'Acceptance Criteria'!$A:$A,0)),IFERROR(INDEX('Delivery Standards'!$C:$C,MATCH(B178,'Delivery Standards'!$A:$A,0)),"⚠ Unknown AC ID")))</f>
        <v/>
      </c>
      <c r="F178" s="3" t="inlineStr">
        <is>
          <t>Accessible names</t>
        </is>
      </c>
      <c r="G178" s="3" t="inlineStr">
        <is>
          <t>Accessibility</t>
        </is>
      </c>
      <c r="H178" s="3" t="inlineStr">
        <is>
          <t>The app is published and shared with the tester.</t>
        </is>
      </c>
      <c r="I178" s="3" t="inlineStr">
        <is>
          <t>1. With a screen reader, move through the header and sidebar icons.</t>
        </is>
      </c>
      <c r="J178" s="3" t="inlineStr">
        <is>
          <t>Each icon button has a name (Collapse sidebar, Toggle dark theme, Notifications, Profile, Close).</t>
        </is>
      </c>
      <c r="K178" s="3" t="n"/>
      <c r="L178" s="3" t="inlineStr">
        <is>
          <t>Not Run</t>
        </is>
      </c>
      <c r="M178" s="3" t="n"/>
      <c r="N178" s="3" t="n"/>
    </row>
    <row r="179">
      <c r="A179" s="3" t="inlineStr">
        <is>
          <t>TC-A11Y-004</t>
        </is>
      </c>
      <c r="B179" s="3" t="inlineStr">
        <is>
          <t>STD-A11Y</t>
        </is>
      </c>
      <c r="C179" s="3" t="n">
        <v>3</v>
      </c>
      <c r="D179" s="3">
        <f>IF(B179="","",IFERROR(INDEX('Acceptance Criteria'!$D:$D,MATCH(B179,'Acceptance Criteria'!$A:$A,0)),IFERROR(INDEX('Delivery Standards'!$B:$B,MATCH(B179,'Delivery Standards'!$A:$A,0)),"⚠ Unknown AC ID")))</f>
        <v/>
      </c>
      <c r="E179" s="3">
        <f>IF(B179="","",IFERROR(INDEX('Acceptance Criteria'!$G:$G,MATCH(B179,'Acceptance Criteria'!$A:$A,0)),IFERROR(INDEX('Delivery Standards'!$C:$C,MATCH(B179,'Delivery Standards'!$A:$A,0)),"⚠ Unknown AC ID")))</f>
        <v/>
      </c>
      <c r="F179" s="3" t="inlineStr">
        <is>
          <t>Contrast in both schemes</t>
        </is>
      </c>
      <c r="G179" s="3" t="inlineStr">
        <is>
          <t>Accessibility</t>
        </is>
      </c>
      <c r="H179" s="3" t="inlineStr">
        <is>
          <t>The app is published and shared with the tester.</t>
        </is>
      </c>
      <c r="I179" s="3" t="inlineStr">
        <is>
          <t>1. Run an accessibility contrast check on each screen in light and dark.</t>
        </is>
      </c>
      <c r="J179" s="3" t="inlineStr">
        <is>
          <t>Text meets 4.5:1 and control outlines 3:1.</t>
        </is>
      </c>
      <c r="K179" s="3" t="n"/>
      <c r="L179" s="3" t="inlineStr">
        <is>
          <t>Not Run</t>
        </is>
      </c>
      <c r="M179" s="3" t="n"/>
      <c r="N179" s="3" t="n"/>
    </row>
    <row r="180">
      <c r="A180" s="3" t="inlineStr">
        <is>
          <t>TC-A11Y-005</t>
        </is>
      </c>
      <c r="B180" s="3" t="inlineStr">
        <is>
          <t>STD-A11Y</t>
        </is>
      </c>
      <c r="C180" s="3" t="n">
        <v>4</v>
      </c>
      <c r="D180" s="3">
        <f>IF(B180="","",IFERROR(INDEX('Acceptance Criteria'!$D:$D,MATCH(B180,'Acceptance Criteria'!$A:$A,0)),IFERROR(INDEX('Delivery Standards'!$B:$B,MATCH(B180,'Delivery Standards'!$A:$A,0)),"⚠ Unknown AC ID")))</f>
        <v/>
      </c>
      <c r="E180" s="3">
        <f>IF(B180="","",IFERROR(INDEX('Acceptance Criteria'!$G:$G,MATCH(B180,'Acceptance Criteria'!$A:$A,0)),IFERROR(INDEX('Delivery Standards'!$C:$C,MATCH(B180,'Delivery Standards'!$A:$A,0)),"⚠ Unknown AC ID")))</f>
        <v/>
      </c>
      <c r="F180" s="3" t="inlineStr">
        <is>
          <t>Headings</t>
        </is>
      </c>
      <c r="G180" s="3" t="inlineStr">
        <is>
          <t>Accessibility</t>
        </is>
      </c>
      <c r="H180" s="3" t="inlineStr">
        <is>
          <t>The app is published and shared with the tester.</t>
        </is>
      </c>
      <c r="I180" s="3" t="inlineStr">
        <is>
          <t>1. Navigate by headings on each screen.</t>
        </is>
      </c>
      <c r="J180" s="3" t="inlineStr">
        <is>
          <t>Each screen's title is announced as a heading.</t>
        </is>
      </c>
      <c r="K180" s="3" t="n"/>
      <c r="L180" s="3" t="inlineStr">
        <is>
          <t>Not Run</t>
        </is>
      </c>
      <c r="M180" s="3" t="n"/>
      <c r="N180" s="3" t="n"/>
    </row>
    <row r="181">
      <c r="A181" s="3" t="inlineStr">
        <is>
          <t>TC-STATE-001</t>
        </is>
      </c>
      <c r="B181" s="3" t="inlineStr">
        <is>
          <t>STD-STATES</t>
        </is>
      </c>
      <c r="C181" s="3" t="n">
        <v>1</v>
      </c>
      <c r="D181" s="3">
        <f>IF(B181="","",IFERROR(INDEX('Acceptance Criteria'!$D:$D,MATCH(B181,'Acceptance Criteria'!$A:$A,0)),IFERROR(INDEX('Delivery Standards'!$B:$B,MATCH(B181,'Delivery Standards'!$A:$A,0)),"⚠ Unknown AC ID")))</f>
        <v/>
      </c>
      <c r="E181" s="3">
        <f>IF(B181="","",IFERROR(INDEX('Acceptance Criteria'!$G:$G,MATCH(B181,'Acceptance Criteria'!$A:$A,0)),IFERROR(INDEX('Delivery Standards'!$C:$C,MATCH(B181,'Delivery Standards'!$A:$A,0)),"⚠ Unknown AC ID")))</f>
        <v/>
      </c>
      <c r="F181" s="3" t="inlineStr">
        <is>
          <t>Loading state</t>
        </is>
      </c>
      <c r="G181" s="3" t="inlineStr">
        <is>
          <t>Positive</t>
        </is>
      </c>
      <c r="H181" s="3" t="inlineStr">
        <is>
          <t>Signed in as a technician (a row in ITH_UserRole with role Technician). The sample tickets from data-model.md exist.</t>
        </is>
      </c>
      <c r="I181" s="3" t="inlineStr">
        <is>
          <t>1. Open the app on a throttled network.</t>
        </is>
      </c>
      <c r="J181" s="3" t="inlineStr">
        <is>
          <t>"Loading tickets…" shows where the content will be.</t>
        </is>
      </c>
      <c r="K181" s="3" t="n"/>
      <c r="L181" s="3" t="inlineStr">
        <is>
          <t>Not Run</t>
        </is>
      </c>
      <c r="M181" s="3" t="n"/>
      <c r="N181" s="3" t="n"/>
    </row>
    <row r="182">
      <c r="A182" s="3" t="inlineStr">
        <is>
          <t>TC-STATE-002</t>
        </is>
      </c>
      <c r="B182" s="3" t="inlineStr">
        <is>
          <t>STD-STATES</t>
        </is>
      </c>
      <c r="C182" s="3" t="n">
        <v>2</v>
      </c>
      <c r="D182" s="3">
        <f>IF(B182="","",IFERROR(INDEX('Acceptance Criteria'!$D:$D,MATCH(B182,'Acceptance Criteria'!$A:$A,0)),IFERROR(INDEX('Delivery Standards'!$B:$B,MATCH(B182,'Delivery Standards'!$A:$A,0)),"⚠ Unknown AC ID")))</f>
        <v/>
      </c>
      <c r="E182" s="3">
        <f>IF(B182="","",IFERROR(INDEX('Acceptance Criteria'!$G:$G,MATCH(B182,'Acceptance Criteria'!$A:$A,0)),IFERROR(INDEX('Delivery Standards'!$C:$C,MATCH(B182,'Delivery Standards'!$A:$A,0)),"⚠ Unknown AC ID")))</f>
        <v/>
      </c>
      <c r="F182" s="3" t="inlineStr">
        <is>
          <t>Empty states</t>
        </is>
      </c>
      <c r="G182" s="3" t="inlineStr">
        <is>
          <t>Positive</t>
        </is>
      </c>
      <c r="H182" s="3" t="inlineStr">
        <is>
          <t>Signed in as a requester (a row in ITH_UserRole with role Requester, or no row). Tickets HD-1 and HD-2 were raised by this user, others by other people.</t>
        </is>
      </c>
      <c r="I182" s="3" t="inlineStr">
        <is>
          <t>1. Open Overview, All tickets and Knowledge base for a user with no data.</t>
        </is>
      </c>
      <c r="J182" s="3" t="inlineStr">
        <is>
          <t>Each says what is missing.</t>
        </is>
      </c>
      <c r="K182" s="3" t="n"/>
      <c r="L182" s="3" t="inlineStr">
        <is>
          <t>Not Run</t>
        </is>
      </c>
      <c r="M182" s="3" t="n"/>
      <c r="N182" s="3" t="n"/>
    </row>
    <row r="183">
      <c r="A183" s="3" t="inlineStr">
        <is>
          <t>TC-STATE-003</t>
        </is>
      </c>
      <c r="B183" s="3" t="inlineStr">
        <is>
          <t>STD-STATES</t>
        </is>
      </c>
      <c r="C183" s="3" t="n">
        <v>3</v>
      </c>
      <c r="D183" s="3">
        <f>IF(B183="","",IFERROR(INDEX('Acceptance Criteria'!$D:$D,MATCH(B183,'Acceptance Criteria'!$A:$A,0)),IFERROR(INDEX('Delivery Standards'!$B:$B,MATCH(B183,'Delivery Standards'!$A:$A,0)),"⚠ Unknown AC ID")))</f>
        <v/>
      </c>
      <c r="E183" s="3">
        <f>IF(B183="","",IFERROR(INDEX('Acceptance Criteria'!$G:$G,MATCH(B183,'Acceptance Criteria'!$A:$A,0)),IFERROR(INDEX('Delivery Standards'!$C:$C,MATCH(B183,'Delivery Standards'!$A:$A,0)),"⚠ Unknown AC ID")))</f>
        <v/>
      </c>
      <c r="F183" s="3" t="inlineStr">
        <is>
          <t>Load error</t>
        </is>
      </c>
      <c r="G183" s="3" t="inlineStr">
        <is>
          <t>Negative</t>
        </is>
      </c>
      <c r="H183" s="3" t="inlineStr">
        <is>
          <t>Signed in as a technician (a row in ITH_UserRole with role Technician). The sample tickets from data-model.md exist.</t>
        </is>
      </c>
      <c r="I183" s="3" t="inlineStr">
        <is>
          <t>1. Rename the ITH_Ticket list temporarily and open the app.</t>
        </is>
      </c>
      <c r="J183" s="3" t="inlineStr">
        <is>
          <t>A plain message says the tickets could not be loaded, with a "Try again" button.</t>
        </is>
      </c>
      <c r="K183" s="3" t="n"/>
      <c r="L183" s="3" t="inlineStr">
        <is>
          <t>Not Run</t>
        </is>
      </c>
      <c r="M183" s="3" t="n"/>
      <c r="N183" s="3" t="n"/>
    </row>
    <row r="184">
      <c r="A184" s="3" t="inlineStr">
        <is>
          <t>TC-STATE-004</t>
        </is>
      </c>
      <c r="B184" s="3" t="inlineStr">
        <is>
          <t>STD-STATES</t>
        </is>
      </c>
      <c r="C184" s="3" t="n">
        <v>4</v>
      </c>
      <c r="D184" s="3">
        <f>IF(B184="","",IFERROR(INDEX('Acceptance Criteria'!$D:$D,MATCH(B184,'Acceptance Criteria'!$A:$A,0)),IFERROR(INDEX('Delivery Standards'!$B:$B,MATCH(B184,'Delivery Standards'!$A:$A,0)),"⚠ Unknown AC ID")))</f>
        <v/>
      </c>
      <c r="E184" s="3">
        <f>IF(B184="","",IFERROR(INDEX('Acceptance Criteria'!$G:$G,MATCH(B184,'Acceptance Criteria'!$A:$A,0)),IFERROR(INDEX('Delivery Standards'!$C:$C,MATCH(B184,'Delivery Standards'!$A:$A,0)),"⚠ Unknown AC ID")))</f>
        <v/>
      </c>
      <c r="F184" s="3" t="inlineStr">
        <is>
          <t>No permission</t>
        </is>
      </c>
      <c r="G184" s="3" t="inlineStr">
        <is>
          <t>Negative</t>
        </is>
      </c>
      <c r="H184" s="3" t="inlineStr">
        <is>
          <t>Signed in as a requester (a row in ITH_UserRole with role Requester, or no row). Tickets HD-1 and HD-2 were raised by this user, others by other people. The user has no access to ITH_Ticket.</t>
        </is>
      </c>
      <c r="I184" s="3" t="inlineStr">
        <is>
          <t>1. Open the app.</t>
        </is>
      </c>
      <c r="J184" s="3" t="inlineStr">
        <is>
          <t>"You do not have access to this data."</t>
        </is>
      </c>
      <c r="K184" s="3" t="n"/>
      <c r="L184" s="3" t="inlineStr">
        <is>
          <t>Not Run</t>
        </is>
      </c>
      <c r="M184" s="3" t="n"/>
      <c r="N184" s="3" t="n"/>
    </row>
    <row r="185">
      <c r="A185" s="3" t="inlineStr">
        <is>
          <t>TC-SEC-012</t>
        </is>
      </c>
      <c r="B185" s="3" t="inlineStr">
        <is>
          <t>STD-PERM</t>
        </is>
      </c>
      <c r="C185" s="3" t="n">
        <v>1</v>
      </c>
      <c r="D185" s="3">
        <f>IF(B185="","",IFERROR(INDEX('Acceptance Criteria'!$D:$D,MATCH(B185,'Acceptance Criteria'!$A:$A,0)),IFERROR(INDEX('Delivery Standards'!$B:$B,MATCH(B185,'Delivery Standards'!$A:$A,0)),"⚠ Unknown AC ID")))</f>
        <v/>
      </c>
      <c r="E185" s="3">
        <f>IF(B185="","",IFERROR(INDEX('Acceptance Criteria'!$G:$G,MATCH(B185,'Acceptance Criteria'!$A:$A,0)),IFERROR(INDEX('Delivery Standards'!$C:$C,MATCH(B185,'Delivery Standards'!$A:$A,0)),"⚠ Unknown AC ID")))</f>
        <v/>
      </c>
      <c r="F185" s="3" t="inlineStr">
        <is>
          <t>Access is decided by the list</t>
        </is>
      </c>
      <c r="G185" s="3" t="inlineStr">
        <is>
          <t>Negative</t>
        </is>
      </c>
      <c r="H185" s="3" t="inlineStr">
        <is>
          <t>Signed in as a requester (a row in ITH_UserRole with role Requester, or no row). Tickets HD-1 and HD-2 were raised by this user, others by other people.</t>
        </is>
      </c>
      <c r="I185" s="3" t="inlineStr">
        <is>
          <t>1. Open the SharePoint list ITH_Ticket directly as the requester.</t>
        </is>
      </c>
      <c r="J185" s="3" t="inlineStr">
        <is>
          <t>Only the requester's own tickets can be read.</t>
        </is>
      </c>
      <c r="K185" s="3" t="n"/>
      <c r="L185" s="3" t="inlineStr">
        <is>
          <t>Not Run</t>
        </is>
      </c>
      <c r="M185" s="3" t="inlineStr">
        <is>
          <t>Needs the groups (IN-01).</t>
        </is>
      </c>
      <c r="N185" s="3" t="n"/>
    </row>
    <row r="186">
      <c r="A186" s="3" t="inlineStr">
        <is>
          <t>TC-SEC-013</t>
        </is>
      </c>
      <c r="B186" s="3" t="inlineStr">
        <is>
          <t>STD-PERM</t>
        </is>
      </c>
      <c r="C186" s="3" t="n">
        <v>2</v>
      </c>
      <c r="D186" s="3">
        <f>IF(B186="","",IFERROR(INDEX('Acceptance Criteria'!$D:$D,MATCH(B186,'Acceptance Criteria'!$A:$A,0)),IFERROR(INDEX('Delivery Standards'!$B:$B,MATCH(B186,'Delivery Standards'!$A:$A,0)),"⚠ Unknown AC ID")))</f>
        <v/>
      </c>
      <c r="E186" s="3">
        <f>IF(B186="","",IFERROR(INDEX('Acceptance Criteria'!$G:$G,MATCH(B186,'Acceptance Criteria'!$A:$A,0)),IFERROR(INDEX('Delivery Standards'!$C:$C,MATCH(B186,'Delivery Standards'!$A:$A,0)),"⚠ Unknown AC ID")))</f>
        <v/>
      </c>
      <c r="F186" s="3" t="inlineStr">
        <is>
          <t>Refused save is reported</t>
        </is>
      </c>
      <c r="G186" s="3" t="inlineStr">
        <is>
          <t>Negative</t>
        </is>
      </c>
      <c r="H186" s="3" t="inlineStr">
        <is>
          <t>Signed in as a requester (a row in ITH_UserRole with role Requester, or no row). Tickets HD-1 and HD-2 were raised by this user, others by other people. Read-only on ITH_Ticket.</t>
        </is>
      </c>
      <c r="I186" s="3" t="inlineStr">
        <is>
          <t>1. Try to create a ticket.</t>
        </is>
      </c>
      <c r="J186" s="3" t="inlineStr">
        <is>
          <t>The app says the ticket was not saved ("You don't have access").</t>
        </is>
      </c>
      <c r="K186" s="3" t="n"/>
      <c r="L186" s="3" t="inlineStr">
        <is>
          <t>Not Run</t>
        </is>
      </c>
      <c r="M186" s="3" t="n"/>
      <c r="N186" s="3" t="n"/>
    </row>
  </sheetData>
  <autoFilter ref="A1:N1000"/>
  <dataValidations count="2">
    <dataValidation sqref="G2:G1000" showDropDown="0" showInputMessage="0" showErrorMessage="0" allowBlank="1" errorTitle="Not an allowed value" error="Pick a value from the list." type="list">
      <formula1>"Positive,Negative,Edge,Boundary,Stress,Accessibility,UI"</formula1>
    </dataValidation>
    <dataValidation sqref="L2:L1000" showDropDown="0" showInputMessage="0" showErrorMessage="0" allowBlank="1" errorTitle="Not an allowed value" error="Pick a value from the list." type="list">
      <formula1>"Not Run,Pass,Fail,Blocked"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4"/>
  <sheetViews>
    <sheetView workbookViewId="0">
      <selection activeCell="A1" sqref="A1"/>
    </sheetView>
  </sheetViews>
  <sheetFormatPr baseColWidth="8" defaultRowHeight="15"/>
  <cols>
    <col width="26" customWidth="1" min="1" max="1"/>
    <col width="12" customWidth="1" min="2" max="2"/>
    <col width="11" customWidth="1" min="3" max="3"/>
    <col width="10" customWidth="1" min="4" max="4"/>
    <col width="10" customWidth="1" min="5" max="5"/>
    <col width="10" customWidth="1" min="6" max="6"/>
    <col width="10" customWidth="1" min="7" max="7"/>
    <col width="11" customWidth="1" min="8" max="8"/>
  </cols>
  <sheetData>
    <row r="1">
      <c r="A1" s="9" t="inlineStr">
        <is>
          <t>Test execution by component (latest result of each test case)</t>
        </is>
      </c>
    </row>
    <row r="3">
      <c r="A3" s="10" t="inlineStr">
        <is>
          <t>Power Apps Component</t>
        </is>
      </c>
      <c r="B3" s="10" t="inlineStr">
        <is>
          <t>Test Cases</t>
        </is>
      </c>
      <c r="C3" s="10" t="inlineStr">
        <is>
          <t>Executed</t>
        </is>
      </c>
      <c r="D3" s="10" t="inlineStr">
        <is>
          <t>Passed</t>
        </is>
      </c>
      <c r="E3" s="10" t="inlineStr">
        <is>
          <t>Failed</t>
        </is>
      </c>
      <c r="F3" s="10" t="inlineStr">
        <is>
          <t>Blocked</t>
        </is>
      </c>
      <c r="G3" s="10" t="inlineStr">
        <is>
          <t>Not Run</t>
        </is>
      </c>
      <c r="H3" s="10" t="inlineStr">
        <is>
          <t>Pass Rate</t>
        </is>
      </c>
    </row>
    <row r="4">
      <c r="A4" t="inlineStr">
        <is>
          <t>ITHelp: App</t>
        </is>
      </c>
      <c r="B4">
        <f>COUNTIF('Test Cases'!$E:$E,A4)</f>
        <v/>
      </c>
      <c r="C4">
        <f>B4-G4</f>
        <v/>
      </c>
      <c r="D4">
        <f>COUNTIFS('Test Cases'!$E:$E,A4,'Test Cases'!$L:$L,"Pass")</f>
        <v/>
      </c>
      <c r="E4">
        <f>COUNTIFS('Test Cases'!$E:$E,A4,'Test Cases'!$L:$L,"Fail")</f>
        <v/>
      </c>
      <c r="F4">
        <f>COUNTIFS('Test Cases'!$E:$E,A4,'Test Cases'!$L:$L,"Blocked")</f>
        <v/>
      </c>
      <c r="G4">
        <f>COUNTIFS('Test Cases'!$E:$E,A4,'Test Cases'!$L:$L,"Not Run")</f>
        <v/>
      </c>
      <c r="H4" s="6">
        <f>IF(C4=0,"",D4/C4)</f>
        <v/>
      </c>
    </row>
    <row r="5">
      <c r="A5" t="inlineStr">
        <is>
          <t>ITHelp: conSidebar (every screen)</t>
        </is>
      </c>
      <c r="B5">
        <f>COUNTIF('Test Cases'!$E:$E,A5)</f>
        <v/>
      </c>
      <c r="C5">
        <f>B5-G5</f>
        <v/>
      </c>
      <c r="D5">
        <f>COUNTIFS('Test Cases'!$E:$E,A5,'Test Cases'!$L:$L,"Pass")</f>
        <v/>
      </c>
      <c r="E5">
        <f>COUNTIFS('Test Cases'!$E:$E,A5,'Test Cases'!$L:$L,"Fail")</f>
        <v/>
      </c>
      <c r="F5">
        <f>COUNTIFS('Test Cases'!$E:$E,A5,'Test Cases'!$L:$L,"Blocked")</f>
        <v/>
      </c>
      <c r="G5">
        <f>COUNTIFS('Test Cases'!$E:$E,A5,'Test Cases'!$L:$L,"Not Run")</f>
        <v/>
      </c>
      <c r="H5" s="6">
        <f>IF(C5=0,"",D5/C5)</f>
        <v/>
      </c>
    </row>
    <row r="6">
      <c r="A6" t="inlineStr">
        <is>
          <t>ITHelp: conHeader (every screen)</t>
        </is>
      </c>
      <c r="B6">
        <f>COUNTIF('Test Cases'!$E:$E,A6)</f>
        <v/>
      </c>
      <c r="C6">
        <f>B6-G6</f>
        <v/>
      </c>
      <c r="D6">
        <f>COUNTIFS('Test Cases'!$E:$E,A6,'Test Cases'!$L:$L,"Pass")</f>
        <v/>
      </c>
      <c r="E6">
        <f>COUNTIFS('Test Cases'!$E:$E,A6,'Test Cases'!$L:$L,"Fail")</f>
        <v/>
      </c>
      <c r="F6">
        <f>COUNTIFS('Test Cases'!$E:$E,A6,'Test Cases'!$L:$L,"Blocked")</f>
        <v/>
      </c>
      <c r="G6">
        <f>COUNTIFS('Test Cases'!$E:$E,A6,'Test Cases'!$L:$L,"Not Run")</f>
        <v/>
      </c>
      <c r="H6" s="6">
        <f>IF(C6=0,"",D6/C6)</f>
        <v/>
      </c>
    </row>
    <row r="7">
      <c r="A7" t="inlineStr">
        <is>
          <t>ITHelp: scrOverview</t>
        </is>
      </c>
      <c r="B7">
        <f>COUNTIF('Test Cases'!$E:$E,A7)</f>
        <v/>
      </c>
      <c r="C7">
        <f>B7-G7</f>
        <v/>
      </c>
      <c r="D7">
        <f>COUNTIFS('Test Cases'!$E:$E,A7,'Test Cases'!$L:$L,"Pass")</f>
        <v/>
      </c>
      <c r="E7">
        <f>COUNTIFS('Test Cases'!$E:$E,A7,'Test Cases'!$L:$L,"Fail")</f>
        <v/>
      </c>
      <c r="F7">
        <f>COUNTIFS('Test Cases'!$E:$E,A7,'Test Cases'!$L:$L,"Blocked")</f>
        <v/>
      </c>
      <c r="G7">
        <f>COUNTIFS('Test Cases'!$E:$E,A7,'Test Cases'!$L:$L,"Not Run")</f>
        <v/>
      </c>
      <c r="H7" s="6">
        <f>IF(C7=0,"",D7/C7)</f>
        <v/>
      </c>
    </row>
    <row r="8">
      <c r="A8" t="inlineStr">
        <is>
          <t>ITHelp: scrTickets</t>
        </is>
      </c>
      <c r="B8">
        <f>COUNTIF('Test Cases'!$E:$E,A8)</f>
        <v/>
      </c>
      <c r="C8">
        <f>B8-G8</f>
        <v/>
      </c>
      <c r="D8">
        <f>COUNTIFS('Test Cases'!$E:$E,A8,'Test Cases'!$L:$L,"Pass")</f>
        <v/>
      </c>
      <c r="E8">
        <f>COUNTIFS('Test Cases'!$E:$E,A8,'Test Cases'!$L:$L,"Fail")</f>
        <v/>
      </c>
      <c r="F8">
        <f>COUNTIFS('Test Cases'!$E:$E,A8,'Test Cases'!$L:$L,"Blocked")</f>
        <v/>
      </c>
      <c r="G8">
        <f>COUNTIFS('Test Cases'!$E:$E,A8,'Test Cases'!$L:$L,"Not Run")</f>
        <v/>
      </c>
      <c r="H8" s="6">
        <f>IF(C8=0,"",D8/C8)</f>
        <v/>
      </c>
    </row>
    <row r="9">
      <c r="A9" t="inlineStr">
        <is>
          <t>ITHelp: scrNewTicket</t>
        </is>
      </c>
      <c r="B9">
        <f>COUNTIF('Test Cases'!$E:$E,A9)</f>
        <v/>
      </c>
      <c r="C9">
        <f>B9-G9</f>
        <v/>
      </c>
      <c r="D9">
        <f>COUNTIFS('Test Cases'!$E:$E,A9,'Test Cases'!$L:$L,"Pass")</f>
        <v/>
      </c>
      <c r="E9">
        <f>COUNTIFS('Test Cases'!$E:$E,A9,'Test Cases'!$L:$L,"Fail")</f>
        <v/>
      </c>
      <c r="F9">
        <f>COUNTIFS('Test Cases'!$E:$E,A9,'Test Cases'!$L:$L,"Blocked")</f>
        <v/>
      </c>
      <c r="G9">
        <f>COUNTIFS('Test Cases'!$E:$E,A9,'Test Cases'!$L:$L,"Not Run")</f>
        <v/>
      </c>
      <c r="H9" s="6">
        <f>IF(C9=0,"",D9/C9)</f>
        <v/>
      </c>
    </row>
    <row r="10">
      <c r="A10" t="inlineStr">
        <is>
          <t>ITHelp: scrTicket</t>
        </is>
      </c>
      <c r="B10">
        <f>COUNTIF('Test Cases'!$E:$E,A10)</f>
        <v/>
      </c>
      <c r="C10">
        <f>B10-G10</f>
        <v/>
      </c>
      <c r="D10">
        <f>COUNTIFS('Test Cases'!$E:$E,A10,'Test Cases'!$L:$L,"Pass")</f>
        <v/>
      </c>
      <c r="E10">
        <f>COUNTIFS('Test Cases'!$E:$E,A10,'Test Cases'!$L:$L,"Fail")</f>
        <v/>
      </c>
      <c r="F10">
        <f>COUNTIFS('Test Cases'!$E:$E,A10,'Test Cases'!$L:$L,"Blocked")</f>
        <v/>
      </c>
      <c r="G10">
        <f>COUNTIFS('Test Cases'!$E:$E,A10,'Test Cases'!$L:$L,"Not Run")</f>
        <v/>
      </c>
      <c r="H10" s="6">
        <f>IF(C10=0,"",D10/C10)</f>
        <v/>
      </c>
    </row>
    <row r="11">
      <c r="A11" t="inlineStr">
        <is>
          <t>Flow: Notify requester - ticket created</t>
        </is>
      </c>
      <c r="B11">
        <f>COUNTIF('Test Cases'!$E:$E,A11)</f>
        <v/>
      </c>
      <c r="C11">
        <f>B11-G11</f>
        <v/>
      </c>
      <c r="D11">
        <f>COUNTIFS('Test Cases'!$E:$E,A11,'Test Cases'!$L:$L,"Pass")</f>
        <v/>
      </c>
      <c r="E11">
        <f>COUNTIFS('Test Cases'!$E:$E,A11,'Test Cases'!$L:$L,"Fail")</f>
        <v/>
      </c>
      <c r="F11">
        <f>COUNTIFS('Test Cases'!$E:$E,A11,'Test Cases'!$L:$L,"Blocked")</f>
        <v/>
      </c>
      <c r="G11">
        <f>COUNTIFS('Test Cases'!$E:$E,A11,'Test Cases'!$L:$L,"Not Run")</f>
        <v/>
      </c>
      <c r="H11" s="6">
        <f>IF(C11=0,"",D11/C11)</f>
        <v/>
      </c>
    </row>
    <row r="12">
      <c r="A12" t="inlineStr">
        <is>
          <t>Flow: Notify technician - ticket assigned</t>
        </is>
      </c>
      <c r="B12">
        <f>COUNTIF('Test Cases'!$E:$E,A12)</f>
        <v/>
      </c>
      <c r="C12">
        <f>B12-G12</f>
        <v/>
      </c>
      <c r="D12">
        <f>COUNTIFS('Test Cases'!$E:$E,A12,'Test Cases'!$L:$L,"Pass")</f>
        <v/>
      </c>
      <c r="E12">
        <f>COUNTIFS('Test Cases'!$E:$E,A12,'Test Cases'!$L:$L,"Fail")</f>
        <v/>
      </c>
      <c r="F12">
        <f>COUNTIFS('Test Cases'!$E:$E,A12,'Test Cases'!$L:$L,"Blocked")</f>
        <v/>
      </c>
      <c r="G12">
        <f>COUNTIFS('Test Cases'!$E:$E,A12,'Test Cases'!$L:$L,"Not Run")</f>
        <v/>
      </c>
      <c r="H12" s="6">
        <f>IF(C12=0,"",D12/C12)</f>
        <v/>
      </c>
    </row>
    <row r="13">
      <c r="A13" t="inlineStr">
        <is>
          <t>Flow: Notify requester - ticket updated</t>
        </is>
      </c>
      <c r="B13">
        <f>COUNTIF('Test Cases'!$E:$E,A13)</f>
        <v/>
      </c>
      <c r="C13">
        <f>B13-G13</f>
        <v/>
      </c>
      <c r="D13">
        <f>COUNTIFS('Test Cases'!$E:$E,A13,'Test Cases'!$L:$L,"Pass")</f>
        <v/>
      </c>
      <c r="E13">
        <f>COUNTIFS('Test Cases'!$E:$E,A13,'Test Cases'!$L:$L,"Fail")</f>
        <v/>
      </c>
      <c r="F13">
        <f>COUNTIFS('Test Cases'!$E:$E,A13,'Test Cases'!$L:$L,"Blocked")</f>
        <v/>
      </c>
      <c r="G13">
        <f>COUNTIFS('Test Cases'!$E:$E,A13,'Test Cases'!$L:$L,"Not Run")</f>
        <v/>
      </c>
      <c r="H13" s="6">
        <f>IF(C13=0,"",D13/C13)</f>
        <v/>
      </c>
    </row>
    <row r="14">
      <c r="A14" t="inlineStr">
        <is>
          <t>ITHelp: scrKnowledge</t>
        </is>
      </c>
      <c r="B14">
        <f>COUNTIF('Test Cases'!$E:$E,A14)</f>
        <v/>
      </c>
      <c r="C14">
        <f>B14-G14</f>
        <v/>
      </c>
      <c r="D14">
        <f>COUNTIFS('Test Cases'!$E:$E,A14,'Test Cases'!$L:$L,"Pass")</f>
        <v/>
      </c>
      <c r="E14">
        <f>COUNTIFS('Test Cases'!$E:$E,A14,'Test Cases'!$L:$L,"Fail")</f>
        <v/>
      </c>
      <c r="F14">
        <f>COUNTIFS('Test Cases'!$E:$E,A14,'Test Cases'!$L:$L,"Blocked")</f>
        <v/>
      </c>
      <c r="G14">
        <f>COUNTIFS('Test Cases'!$E:$E,A14,'Test Cases'!$L:$L,"Not Run")</f>
        <v/>
      </c>
      <c r="H14" s="6">
        <f>IF(C14=0,"",D14/C14)</f>
        <v/>
      </c>
    </row>
    <row r="15">
      <c r="A15" t="inlineStr">
        <is>
          <t>ITHelp: scrSettings</t>
        </is>
      </c>
      <c r="B15">
        <f>COUNTIF('Test Cases'!$E:$E,A15)</f>
        <v/>
      </c>
      <c r="C15">
        <f>B15-G15</f>
        <v/>
      </c>
      <c r="D15">
        <f>COUNTIFS('Test Cases'!$E:$E,A15,'Test Cases'!$L:$L,"Pass")</f>
        <v/>
      </c>
      <c r="E15">
        <f>COUNTIFS('Test Cases'!$E:$E,A15,'Test Cases'!$L:$L,"Fail")</f>
        <v/>
      </c>
      <c r="F15">
        <f>COUNTIFS('Test Cases'!$E:$E,A15,'Test Cases'!$L:$L,"Blocked")</f>
        <v/>
      </c>
      <c r="G15">
        <f>COUNTIFS('Test Cases'!$E:$E,A15,'Test Cases'!$L:$L,"Not Run")</f>
        <v/>
      </c>
      <c r="H15" s="6">
        <f>IF(C15=0,"",D15/C15)</f>
        <v/>
      </c>
    </row>
    <row r="16">
      <c r="A16" t="inlineStr">
        <is>
          <t>All</t>
        </is>
      </c>
      <c r="B16">
        <f>COUNTIF('Test Cases'!$E:$E,A16)</f>
        <v/>
      </c>
      <c r="C16">
        <f>B16-G16</f>
        <v/>
      </c>
      <c r="D16">
        <f>COUNTIFS('Test Cases'!$E:$E,A16,'Test Cases'!$L:$L,"Pass")</f>
        <v/>
      </c>
      <c r="E16">
        <f>COUNTIFS('Test Cases'!$E:$E,A16,'Test Cases'!$L:$L,"Fail")</f>
        <v/>
      </c>
      <c r="F16">
        <f>COUNTIFS('Test Cases'!$E:$E,A16,'Test Cases'!$L:$L,"Blocked")</f>
        <v/>
      </c>
      <c r="G16">
        <f>COUNTIFS('Test Cases'!$E:$E,A16,'Test Cases'!$L:$L,"Not Run")</f>
        <v/>
      </c>
      <c r="H16" s="6">
        <f>IF(C16=0,"",D16/C16)</f>
        <v/>
      </c>
    </row>
    <row r="17">
      <c r="A17" t="inlineStr">
        <is>
          <t>Every screen that shows list data</t>
        </is>
      </c>
      <c r="B17">
        <f>COUNTIF('Test Cases'!$E:$E,A17)</f>
        <v/>
      </c>
      <c r="C17">
        <f>B17-G17</f>
        <v/>
      </c>
      <c r="D17">
        <f>COUNTIFS('Test Cases'!$E:$E,A17,'Test Cases'!$L:$L,"Pass")</f>
        <v/>
      </c>
      <c r="E17">
        <f>COUNTIFS('Test Cases'!$E:$E,A17,'Test Cases'!$L:$L,"Fail")</f>
        <v/>
      </c>
      <c r="F17">
        <f>COUNTIFS('Test Cases'!$E:$E,A17,'Test Cases'!$L:$L,"Blocked")</f>
        <v/>
      </c>
      <c r="G17">
        <f>COUNTIFS('Test Cases'!$E:$E,A17,'Test Cases'!$L:$L,"Not Run")</f>
        <v/>
      </c>
      <c r="H17" s="6">
        <f>IF(C17=0,"",D17/C17)</f>
        <v/>
      </c>
    </row>
    <row r="18">
      <c r="A18" t="inlineStr">
        <is>
          <t>Every list</t>
        </is>
      </c>
      <c r="B18">
        <f>COUNTIF('Test Cases'!$E:$E,A18)</f>
        <v/>
      </c>
      <c r="C18">
        <f>B18-G18</f>
        <v/>
      </c>
      <c r="D18">
        <f>COUNTIFS('Test Cases'!$E:$E,A18,'Test Cases'!$L:$L,"Pass")</f>
        <v/>
      </c>
      <c r="E18">
        <f>COUNTIFS('Test Cases'!$E:$E,A18,'Test Cases'!$L:$L,"Fail")</f>
        <v/>
      </c>
      <c r="F18">
        <f>COUNTIFS('Test Cases'!$E:$E,A18,'Test Cases'!$L:$L,"Blocked")</f>
        <v/>
      </c>
      <c r="G18">
        <f>COUNTIFS('Test Cases'!$E:$E,A18,'Test Cases'!$L:$L,"Not Run")</f>
        <v/>
      </c>
      <c r="H18" s="6">
        <f>IF(C18=0,"",D18/C18)</f>
        <v/>
      </c>
    </row>
    <row r="19">
      <c r="A19" s="11" t="inlineStr">
        <is>
          <t>Total</t>
        </is>
      </c>
      <c r="B19" s="11">
        <f>SUM(B4:B18)</f>
        <v/>
      </c>
      <c r="C19" s="11">
        <f>SUM(C4:C18)</f>
        <v/>
      </c>
      <c r="D19" s="11">
        <f>SUM(D4:D18)</f>
        <v/>
      </c>
      <c r="E19" s="11">
        <f>SUM(E4:E18)</f>
        <v/>
      </c>
      <c r="F19" s="11">
        <f>SUM(F4:F18)</f>
        <v/>
      </c>
      <c r="G19" s="11">
        <f>SUM(G4:G18)</f>
        <v/>
      </c>
      <c r="H19" s="6">
        <f>IF(C19=0,"",D19/C19)</f>
        <v/>
      </c>
    </row>
    <row r="22">
      <c r="A22" s="9" t="inlineStr">
        <is>
          <t>Acceptance criteria by status</t>
        </is>
      </c>
    </row>
    <row r="24">
      <c r="A24" s="10" t="inlineStr">
        <is>
          <t>Status</t>
        </is>
      </c>
      <c r="B24" s="10" t="inlineStr">
        <is>
          <t>Count</t>
        </is>
      </c>
    </row>
    <row r="25">
      <c r="A25" t="inlineStr">
        <is>
          <t>Candidate</t>
        </is>
      </c>
      <c r="B25">
        <f>COUNTIF('Acceptance Criteria'!$N:$N,A25)</f>
        <v/>
      </c>
    </row>
    <row r="26">
      <c r="A26" t="inlineStr">
        <is>
          <t>Draft</t>
        </is>
      </c>
      <c r="B26">
        <f>COUNTIF('Acceptance Criteria'!$N:$N,A26)</f>
        <v/>
      </c>
    </row>
    <row r="27">
      <c r="A27" t="inlineStr">
        <is>
          <t>In Review</t>
        </is>
      </c>
      <c r="B27">
        <f>COUNTIF('Acceptance Criteria'!$N:$N,A27)</f>
        <v/>
      </c>
    </row>
    <row r="28">
      <c r="A28" t="inlineStr">
        <is>
          <t>Approved</t>
        </is>
      </c>
      <c r="B28">
        <f>COUNTIF('Acceptance Criteria'!$N:$N,A28)</f>
        <v/>
      </c>
    </row>
    <row r="29">
      <c r="A29" t="inlineStr">
        <is>
          <t>Changed</t>
        </is>
      </c>
      <c r="B29">
        <f>COUNTIF('Acceptance Criteria'!$N:$N,A29)</f>
        <v/>
      </c>
    </row>
    <row r="30">
      <c r="A30" t="inlineStr">
        <is>
          <t>On Hold</t>
        </is>
      </c>
      <c r="B30">
        <f>COUNTIF('Acceptance Criteria'!$N:$N,A30)</f>
        <v/>
      </c>
    </row>
    <row r="31">
      <c r="A31" t="inlineStr">
        <is>
          <t>Out of Scope</t>
        </is>
      </c>
      <c r="B31">
        <f>COUNTIF('Acceptance Criteria'!$N:$N,A31)</f>
        <v/>
      </c>
    </row>
    <row r="33">
      <c r="A33" s="11" t="inlineStr">
        <is>
          <t>Live criteria with no test case</t>
        </is>
      </c>
      <c r="B33">
        <f>SUMPRODUCT(('Acceptance Criteria'!$A$2:$A$1000&lt;&gt;"")*((('Acceptance Criteria'!$N$2:$N$1000="Approved")+('Acceptance Criteria'!$N$2:$N$1000="Changed"))&gt;0)*(COUNTIF('Test Cases'!$B$2:$B$1000,'Acceptance Criteria'!$A$2:$A$1000)=0))</f>
        <v/>
      </c>
    </row>
    <row r="34">
      <c r="A34" s="12" t="inlineStr">
        <is>
          <t>Run `uv run tools/ac_workbook.py check` for the list.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4.4"/>
  <cols>
    <col width="30" customWidth="1" min="1" max="1"/>
    <col width="60" customWidth="1" min="2" max="2"/>
    <col width="50" customWidth="1" min="3" max="3"/>
  </cols>
  <sheetData>
    <row r="1">
      <c r="A1" s="4" t="inlineStr">
        <is>
          <t>Artefact</t>
        </is>
      </c>
      <c r="B1" s="4" t="inlineStr">
        <is>
          <t>Location</t>
        </is>
      </c>
      <c r="C1" s="4" t="inlineStr">
        <is>
          <t>Notes</t>
        </is>
      </c>
    </row>
    <row r="2">
      <c r="A2" s="3" t="inlineStr">
        <is>
          <t>BRD</t>
        </is>
      </c>
      <c r="B2" s="3" t="inlineStr">
        <is>
          <t>inputs/brd/Helpdesk_BRD.xlsx</t>
        </is>
      </c>
      <c r="C2" s="3" t="inlineStr">
        <is>
          <t>Sheets Helpdesk_BRD 1.0 and Timelines.</t>
        </is>
      </c>
    </row>
    <row r="3" ht="28.8" customHeight="1">
      <c r="A3" s="3" t="inlineStr">
        <is>
          <t>Accepted design (HTML prototype)</t>
        </is>
      </c>
      <c r="B3" s="3" t="inlineStr">
        <is>
          <t>inputs/design/index (4).html</t>
        </is>
      </c>
      <c r="C3" s="3" t="inlineStr">
        <is>
          <t>Confirmed as the accepted design by the Acies delivery lead 2026-10-29; acceptance date to be confirmed (Q-01).</t>
        </is>
      </c>
    </row>
    <row r="4">
      <c r="A4" s="3" t="inlineStr">
        <is>
          <t>Prototype fidelity register</t>
        </is>
      </c>
      <c r="B4" s="3" t="inlineStr">
        <is>
          <t>specs/prototype-fidelity.md</t>
        </is>
      </c>
      <c r="C4" s="3" t="inlineStr">
        <is>
          <t>Every prototype element with its AC IDs.</t>
        </is>
      </c>
    </row>
    <row r="5" ht="28.8" customHeight="1">
      <c r="A5" s="3" t="inlineStr">
        <is>
          <t>Coverage map</t>
        </is>
      </c>
      <c r="B5" s="3" t="inlineStr">
        <is>
          <t>specs/acceptance-criteria/coverage.md</t>
        </is>
      </c>
      <c r="C5" s="3" t="inlineStr">
        <is>
          <t>Every BRD row and prototype behaviour with the AC rows that cover it.</t>
        </is>
      </c>
    </row>
  </sheetData>
  <autoFilter ref="A1:C100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2026-10-29T07:26:06Z</dcterms:created>
  <dcterms:modified xmlns:dcterms="http://purl.org/dc/terms/" xmlns:xsi="http://www.w3.org/2001/XMLSchema-instance" xsi:type="dcterms:W3CDTF">2026-10-29T08:04:49Z</dcterms:modified>
  <cp:lastModifiedBy>Albin Tom Kuruvilla</cp:lastModifiedBy>
</cp:coreProperties>
</file>